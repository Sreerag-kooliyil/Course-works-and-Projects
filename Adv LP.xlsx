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A\Notes\5th trem\AOR\"/>
    </mc:Choice>
  </mc:AlternateContent>
  <xr:revisionPtr revIDLastSave="0" documentId="13_ncr:1_{A22CD7D2-AB4B-4D2E-AE13-0A2F43557B74}" xr6:coauthVersionLast="47" xr6:coauthVersionMax="47" xr10:uidLastSave="{00000000-0000-0000-0000-000000000000}"/>
  <bookViews>
    <workbookView xWindow="-108" yWindow="-108" windowWidth="23256" windowHeight="12456" firstSheet="6" activeTab="13" xr2:uid="{5BA489BF-33F3-4F2E-9F3E-7C2B13914F22}"/>
  </bookViews>
  <sheets>
    <sheet name="Hilltop" sheetId="1" r:id="rId1"/>
    <sheet name="G Kunz" sheetId="2" r:id="rId2"/>
    <sheet name="Andy" sheetId="3" r:id="rId3"/>
    <sheet name="Tots" sheetId="4" r:id="rId4"/>
    <sheet name="Meredith" sheetId="5" r:id="rId5"/>
    <sheet name="Wonder toy" sheetId="9" r:id="rId6"/>
    <sheet name="Atlantic" sheetId="10" r:id="rId7"/>
    <sheet name="Filtron" sheetId="6" r:id="rId8"/>
    <sheet name="Super city" sheetId="7" r:id="rId9"/>
    <sheet name="Northshore" sheetId="8" r:id="rId10"/>
    <sheet name="Union Airways" sheetId="11" r:id="rId11"/>
    <sheet name="G&amp;P" sheetId="12" r:id="rId12"/>
    <sheet name="Hewlit" sheetId="16" r:id="rId13"/>
    <sheet name="Seastrand" sheetId="15" r:id="rId14"/>
  </sheets>
  <definedNames>
    <definedName name="solver_adj" localSheetId="2" hidden="1">Andy!$B$3:$M$3</definedName>
    <definedName name="solver_adj" localSheetId="6" hidden="1">Atlantic!$B$3:$M$3</definedName>
    <definedName name="solver_adj" localSheetId="7" hidden="1">Filtron!$B$3:$M$3</definedName>
    <definedName name="solver_adj" localSheetId="1" hidden="1">'G Kunz'!$B$3:$E$3</definedName>
    <definedName name="solver_adj" localSheetId="11" hidden="1">'G&amp;P'!$B$4:$I$4</definedName>
    <definedName name="solver_adj" localSheetId="12" hidden="1">Hewlit!$B$3:$M$3</definedName>
    <definedName name="solver_adj" localSheetId="0" hidden="1">Hilltop!$B$3:$D$3</definedName>
    <definedName name="solver_adj" localSheetId="4" hidden="1">Meredith!$B$3:$I$3</definedName>
    <definedName name="solver_adj" localSheetId="9" hidden="1">Northshore!$B$4:$K$4</definedName>
    <definedName name="solver_adj" localSheetId="13" hidden="1">Seastrand!$B$3:$E$3</definedName>
    <definedName name="solver_adj" localSheetId="8" hidden="1">'Super city'!$B$2:$G$2</definedName>
    <definedName name="solver_adj" localSheetId="3" hidden="1">Tots!$B$3:$G$3</definedName>
    <definedName name="solver_adj" localSheetId="10" hidden="1">'Union Airways'!$B$3:$F$3</definedName>
    <definedName name="solver_adj" localSheetId="5" hidden="1">'Wonder toy'!$B$3:$M$3</definedName>
    <definedName name="solver_cvg" localSheetId="2" hidden="1">0.0001</definedName>
    <definedName name="solver_cvg" localSheetId="6" hidden="1">0.0001</definedName>
    <definedName name="solver_cvg" localSheetId="7" hidden="1">0.0001</definedName>
    <definedName name="solver_cvg" localSheetId="1" hidden="1">0.0001</definedName>
    <definedName name="solver_cvg" localSheetId="11" hidden="1">0.0001</definedName>
    <definedName name="solver_cvg" localSheetId="12" hidden="1">0.0001</definedName>
    <definedName name="solver_cvg" localSheetId="0" hidden="1">0.0001</definedName>
    <definedName name="solver_cvg" localSheetId="4" hidden="1">0.0001</definedName>
    <definedName name="solver_cvg" localSheetId="9" hidden="1">0.0001</definedName>
    <definedName name="solver_cvg" localSheetId="13" hidden="1">0.0001</definedName>
    <definedName name="solver_cvg" localSheetId="8" hidden="1">0.0001</definedName>
    <definedName name="solver_cvg" localSheetId="3" hidden="1">0.0001</definedName>
    <definedName name="solver_cvg" localSheetId="10" hidden="1">0.0001</definedName>
    <definedName name="solver_cvg" localSheetId="5" hidden="1">0.0001</definedName>
    <definedName name="solver_drv" localSheetId="2" hidden="1">1</definedName>
    <definedName name="solver_drv" localSheetId="6" hidden="1">1</definedName>
    <definedName name="solver_drv" localSheetId="7" hidden="1">1</definedName>
    <definedName name="solver_drv" localSheetId="1" hidden="1">1</definedName>
    <definedName name="solver_drv" localSheetId="11" hidden="1">1</definedName>
    <definedName name="solver_drv" localSheetId="12" hidden="1">1</definedName>
    <definedName name="solver_drv" localSheetId="0" hidden="1">1</definedName>
    <definedName name="solver_drv" localSheetId="4" hidden="1">1</definedName>
    <definedName name="solver_drv" localSheetId="9" hidden="1">2</definedName>
    <definedName name="solver_drv" localSheetId="13" hidden="1">1</definedName>
    <definedName name="solver_drv" localSheetId="8" hidden="1">1</definedName>
    <definedName name="solver_drv" localSheetId="3" hidden="1">1</definedName>
    <definedName name="solver_drv" localSheetId="10" hidden="1">1</definedName>
    <definedName name="solver_drv" localSheetId="5" hidden="1">1</definedName>
    <definedName name="solver_eng" localSheetId="2" hidden="1">2</definedName>
    <definedName name="solver_eng" localSheetId="6" hidden="1">2</definedName>
    <definedName name="solver_eng" localSheetId="7" hidden="1">2</definedName>
    <definedName name="solver_eng" localSheetId="1" hidden="1">2</definedName>
    <definedName name="solver_eng" localSheetId="11" hidden="1">2</definedName>
    <definedName name="solver_eng" localSheetId="12" hidden="1">2</definedName>
    <definedName name="solver_eng" localSheetId="0" hidden="1">2</definedName>
    <definedName name="solver_eng" localSheetId="4" hidden="1">2</definedName>
    <definedName name="solver_eng" localSheetId="9" hidden="1">2</definedName>
    <definedName name="solver_eng" localSheetId="13" hidden="1">2</definedName>
    <definedName name="solver_eng" localSheetId="8" hidden="1">2</definedName>
    <definedName name="solver_eng" localSheetId="3" hidden="1">2</definedName>
    <definedName name="solver_eng" localSheetId="10" hidden="1">2</definedName>
    <definedName name="solver_eng" localSheetId="5" hidden="1">2</definedName>
    <definedName name="solver_est" localSheetId="2" hidden="1">1</definedName>
    <definedName name="solver_est" localSheetId="6" hidden="1">1</definedName>
    <definedName name="solver_est" localSheetId="7" hidden="1">1</definedName>
    <definedName name="solver_est" localSheetId="1" hidden="1">1</definedName>
    <definedName name="solver_est" localSheetId="11" hidden="1">1</definedName>
    <definedName name="solver_est" localSheetId="12" hidden="1">1</definedName>
    <definedName name="solver_est" localSheetId="0" hidden="1">1</definedName>
    <definedName name="solver_est" localSheetId="4" hidden="1">1</definedName>
    <definedName name="solver_est" localSheetId="9" hidden="1">1</definedName>
    <definedName name="solver_est" localSheetId="13" hidden="1">1</definedName>
    <definedName name="solver_est" localSheetId="8" hidden="1">1</definedName>
    <definedName name="solver_est" localSheetId="3" hidden="1">1</definedName>
    <definedName name="solver_est" localSheetId="10" hidden="1">1</definedName>
    <definedName name="solver_est" localSheetId="5" hidden="1">1</definedName>
    <definedName name="solver_itr" localSheetId="2" hidden="1">2147483647</definedName>
    <definedName name="solver_itr" localSheetId="6" hidden="1">2147483647</definedName>
    <definedName name="solver_itr" localSheetId="7" hidden="1">2147483647</definedName>
    <definedName name="solver_itr" localSheetId="1" hidden="1">2147483647</definedName>
    <definedName name="solver_itr" localSheetId="11" hidden="1">2147483647</definedName>
    <definedName name="solver_itr" localSheetId="12" hidden="1">2147483647</definedName>
    <definedName name="solver_itr" localSheetId="0" hidden="1">2147483647</definedName>
    <definedName name="solver_itr" localSheetId="4" hidden="1">2147483647</definedName>
    <definedName name="solver_itr" localSheetId="9" hidden="1">2147483647</definedName>
    <definedName name="solver_itr" localSheetId="13" hidden="1">2147483647</definedName>
    <definedName name="solver_itr" localSheetId="8" hidden="1">2147483647</definedName>
    <definedName name="solver_itr" localSheetId="3" hidden="1">2147483647</definedName>
    <definedName name="solver_itr" localSheetId="10" hidden="1">2147483647</definedName>
    <definedName name="solver_itr" localSheetId="5" hidden="1">2147483647</definedName>
    <definedName name="solver_lhs1" localSheetId="2" hidden="1">Andy!$N$10:$N$13</definedName>
    <definedName name="solver_lhs1" localSheetId="6" hidden="1">Atlantic!$B$3:$M$3</definedName>
    <definedName name="solver_lhs1" localSheetId="7" hidden="1">Filtron!$N$12:$N$14</definedName>
    <definedName name="solver_lhs1" localSheetId="1" hidden="1">'G Kunz'!$F$6:$F$8</definedName>
    <definedName name="solver_lhs1" localSheetId="11" hidden="1">'G&amp;P'!$B$4:$I$4</definedName>
    <definedName name="solver_lhs1" localSheetId="12" hidden="1">Hewlit!$C$3:$E$3</definedName>
    <definedName name="solver_lhs1" localSheetId="0" hidden="1">Hilltop!$E$11</definedName>
    <definedName name="solver_lhs1" localSheetId="4" hidden="1">Meredith!$J$10:$J$13</definedName>
    <definedName name="solver_lhs1" localSheetId="9" hidden="1">Northshore!$B$4:$K$4</definedName>
    <definedName name="solver_lhs1" localSheetId="13" hidden="1">Seastrand!$F$6:$F$8</definedName>
    <definedName name="solver_lhs1" localSheetId="8" hidden="1">'Super city'!$H$4:$H$9</definedName>
    <definedName name="solver_lhs1" localSheetId="3" hidden="1">Tots!$H$6:$H$8</definedName>
    <definedName name="solver_lhs1" localSheetId="10" hidden="1">'Union Airways'!$B$3:$F$3</definedName>
    <definedName name="solver_lhs1" localSheetId="5" hidden="1">'Wonder toy'!$B$3:$M$3</definedName>
    <definedName name="solver_lhs2" localSheetId="2" hidden="1">Andy!$N$14</definedName>
    <definedName name="solver_lhs2" localSheetId="6" hidden="1">Atlantic!$N$10:$N$13</definedName>
    <definedName name="solver_lhs2" localSheetId="7" hidden="1">Filtron!$N$6:$N$8</definedName>
    <definedName name="solver_lhs2" localSheetId="11" hidden="1">'G&amp;P'!$J$10:$J$12</definedName>
    <definedName name="solver_lhs2" localSheetId="12" hidden="1">Hewlit!$N$6:$N$13</definedName>
    <definedName name="solver_lhs2" localSheetId="0" hidden="1">Hilltop!$E$6:$E$7</definedName>
    <definedName name="solver_lhs2" localSheetId="4" hidden="1">Meredith!$J$6:$J$9</definedName>
    <definedName name="solver_lhs2" localSheetId="9" hidden="1">Northshore!$L$7:$L$20</definedName>
    <definedName name="solver_lhs2" localSheetId="13" hidden="1">Seastrand!$F$9</definedName>
    <definedName name="solver_lhs2" localSheetId="3" hidden="1">Tots!$H$9:$H$11</definedName>
    <definedName name="solver_lhs2" localSheetId="10" hidden="1">'Union Airways'!$G$6:$G$15</definedName>
    <definedName name="solver_lhs2" localSheetId="5" hidden="1">'Wonder toy'!$N$12:$N$19</definedName>
    <definedName name="solver_lhs3" localSheetId="2" hidden="1">Andy!$N$6:$N$9</definedName>
    <definedName name="solver_lhs3" localSheetId="6" hidden="1">Atlantic!$N$14</definedName>
    <definedName name="solver_lhs3" localSheetId="7" hidden="1">Filtron!$N$9:$N$11</definedName>
    <definedName name="solver_lhs3" localSheetId="11" hidden="1">'G&amp;P'!$J$7:$J$9</definedName>
    <definedName name="solver_lhs3" localSheetId="0" hidden="1">Hilltop!$E$8:$E$10</definedName>
    <definedName name="solver_lhs3" localSheetId="13" hidden="1">Seastrand!$F$9</definedName>
    <definedName name="solver_lhs3" localSheetId="5" hidden="1">'Wonder toy'!$N$6:$N$11</definedName>
    <definedName name="solver_lhs4" localSheetId="6" hidden="1">Atlantic!$N$6:$N$9</definedName>
    <definedName name="solver_lhs4" localSheetId="0" hidden="1">Hilltop!$E$8:$E$10</definedName>
    <definedName name="solver_lhs4" localSheetId="5" hidden="1">'Wonder toy'!$N$6:$N$11</definedName>
    <definedName name="solver_mip" localSheetId="2" hidden="1">2147483647</definedName>
    <definedName name="solver_mip" localSheetId="6" hidden="1">2147483647</definedName>
    <definedName name="solver_mip" localSheetId="7" hidden="1">2147483647</definedName>
    <definedName name="solver_mip" localSheetId="1" hidden="1">2147483647</definedName>
    <definedName name="solver_mip" localSheetId="11" hidden="1">2147483647</definedName>
    <definedName name="solver_mip" localSheetId="12" hidden="1">2147483647</definedName>
    <definedName name="solver_mip" localSheetId="0" hidden="1">2147483647</definedName>
    <definedName name="solver_mip" localSheetId="4" hidden="1">2147483647</definedName>
    <definedName name="solver_mip" localSheetId="9" hidden="1">2147483647</definedName>
    <definedName name="solver_mip" localSheetId="13" hidden="1">2147483647</definedName>
    <definedName name="solver_mip" localSheetId="8" hidden="1">2147483647</definedName>
    <definedName name="solver_mip" localSheetId="3" hidden="1">2147483647</definedName>
    <definedName name="solver_mip" localSheetId="10" hidden="1">2147483647</definedName>
    <definedName name="solver_mip" localSheetId="5" hidden="1">2147483647</definedName>
    <definedName name="solver_mni" localSheetId="2" hidden="1">30</definedName>
    <definedName name="solver_mni" localSheetId="6" hidden="1">30</definedName>
    <definedName name="solver_mni" localSheetId="7" hidden="1">30</definedName>
    <definedName name="solver_mni" localSheetId="1" hidden="1">30</definedName>
    <definedName name="solver_mni" localSheetId="11" hidden="1">30</definedName>
    <definedName name="solver_mni" localSheetId="12" hidden="1">30</definedName>
    <definedName name="solver_mni" localSheetId="0" hidden="1">30</definedName>
    <definedName name="solver_mni" localSheetId="4" hidden="1">30</definedName>
    <definedName name="solver_mni" localSheetId="9" hidden="1">30</definedName>
    <definedName name="solver_mni" localSheetId="13" hidden="1">30</definedName>
    <definedName name="solver_mni" localSheetId="8" hidden="1">30</definedName>
    <definedName name="solver_mni" localSheetId="3" hidden="1">30</definedName>
    <definedName name="solver_mni" localSheetId="10" hidden="1">30</definedName>
    <definedName name="solver_mni" localSheetId="5" hidden="1">30</definedName>
    <definedName name="solver_mrt" localSheetId="2" hidden="1">0.075</definedName>
    <definedName name="solver_mrt" localSheetId="6" hidden="1">0.075</definedName>
    <definedName name="solver_mrt" localSheetId="7" hidden="1">0.075</definedName>
    <definedName name="solver_mrt" localSheetId="1" hidden="1">0.075</definedName>
    <definedName name="solver_mrt" localSheetId="11" hidden="1">0.075</definedName>
    <definedName name="solver_mrt" localSheetId="12" hidden="1">0.075</definedName>
    <definedName name="solver_mrt" localSheetId="0" hidden="1">0.075</definedName>
    <definedName name="solver_mrt" localSheetId="4" hidden="1">0.075</definedName>
    <definedName name="solver_mrt" localSheetId="9" hidden="1">0.075</definedName>
    <definedName name="solver_mrt" localSheetId="13" hidden="1">0.075</definedName>
    <definedName name="solver_mrt" localSheetId="8" hidden="1">0.075</definedName>
    <definedName name="solver_mrt" localSheetId="3" hidden="1">0.075</definedName>
    <definedName name="solver_mrt" localSheetId="10" hidden="1">0.075</definedName>
    <definedName name="solver_mrt" localSheetId="5" hidden="1">0.075</definedName>
    <definedName name="solver_msl" localSheetId="2" hidden="1">2</definedName>
    <definedName name="solver_msl" localSheetId="6" hidden="1">2</definedName>
    <definedName name="solver_msl" localSheetId="7" hidden="1">2</definedName>
    <definedName name="solver_msl" localSheetId="1" hidden="1">2</definedName>
    <definedName name="solver_msl" localSheetId="11" hidden="1">2</definedName>
    <definedName name="solver_msl" localSheetId="12" hidden="1">2</definedName>
    <definedName name="solver_msl" localSheetId="0" hidden="1">2</definedName>
    <definedName name="solver_msl" localSheetId="4" hidden="1">2</definedName>
    <definedName name="solver_msl" localSheetId="9" hidden="1">2</definedName>
    <definedName name="solver_msl" localSheetId="13" hidden="1">2</definedName>
    <definedName name="solver_msl" localSheetId="8" hidden="1">2</definedName>
    <definedName name="solver_msl" localSheetId="3" hidden="1">2</definedName>
    <definedName name="solver_msl" localSheetId="10" hidden="1">2</definedName>
    <definedName name="solver_msl" localSheetId="5" hidden="1">2</definedName>
    <definedName name="solver_neg" localSheetId="2" hidden="1">1</definedName>
    <definedName name="solver_neg" localSheetId="6" hidden="1">1</definedName>
    <definedName name="solver_neg" localSheetId="7" hidden="1">1</definedName>
    <definedName name="solver_neg" localSheetId="1" hidden="1">1</definedName>
    <definedName name="solver_neg" localSheetId="11" hidden="1">1</definedName>
    <definedName name="solver_neg" localSheetId="12" hidden="1">1</definedName>
    <definedName name="solver_neg" localSheetId="0" hidden="1">1</definedName>
    <definedName name="solver_neg" localSheetId="4" hidden="1">1</definedName>
    <definedName name="solver_neg" localSheetId="9" hidden="1">1</definedName>
    <definedName name="solver_neg" localSheetId="13" hidden="1">1</definedName>
    <definedName name="solver_neg" localSheetId="8" hidden="1">1</definedName>
    <definedName name="solver_neg" localSheetId="3" hidden="1">1</definedName>
    <definedName name="solver_neg" localSheetId="10" hidden="1">1</definedName>
    <definedName name="solver_neg" localSheetId="5" hidden="1">1</definedName>
    <definedName name="solver_nod" localSheetId="2" hidden="1">2147483647</definedName>
    <definedName name="solver_nod" localSheetId="6" hidden="1">2147483647</definedName>
    <definedName name="solver_nod" localSheetId="7" hidden="1">2147483647</definedName>
    <definedName name="solver_nod" localSheetId="1" hidden="1">2147483647</definedName>
    <definedName name="solver_nod" localSheetId="11" hidden="1">2147483647</definedName>
    <definedName name="solver_nod" localSheetId="12" hidden="1">2147483647</definedName>
    <definedName name="solver_nod" localSheetId="0" hidden="1">2147483647</definedName>
    <definedName name="solver_nod" localSheetId="4" hidden="1">2147483647</definedName>
    <definedName name="solver_nod" localSheetId="9" hidden="1">2147483647</definedName>
    <definedName name="solver_nod" localSheetId="13" hidden="1">2147483647</definedName>
    <definedName name="solver_nod" localSheetId="8" hidden="1">2147483647</definedName>
    <definedName name="solver_nod" localSheetId="3" hidden="1">2147483647</definedName>
    <definedName name="solver_nod" localSheetId="10" hidden="1">2147483647</definedName>
    <definedName name="solver_nod" localSheetId="5" hidden="1">2147483647</definedName>
    <definedName name="solver_num" localSheetId="2" hidden="1">3</definedName>
    <definedName name="solver_num" localSheetId="6" hidden="1">4</definedName>
    <definedName name="solver_num" localSheetId="7" hidden="1">3</definedName>
    <definedName name="solver_num" localSheetId="1" hidden="1">1</definedName>
    <definedName name="solver_num" localSheetId="11" hidden="1">3</definedName>
    <definedName name="solver_num" localSheetId="12" hidden="1">2</definedName>
    <definedName name="solver_num" localSheetId="0" hidden="1">3</definedName>
    <definedName name="solver_num" localSheetId="4" hidden="1">2</definedName>
    <definedName name="solver_num" localSheetId="9" hidden="1">2</definedName>
    <definedName name="solver_num" localSheetId="13" hidden="1">2</definedName>
    <definedName name="solver_num" localSheetId="8" hidden="1">1</definedName>
    <definedName name="solver_num" localSheetId="3" hidden="1">2</definedName>
    <definedName name="solver_num" localSheetId="10" hidden="1">2</definedName>
    <definedName name="solver_num" localSheetId="5" hidden="1">3</definedName>
    <definedName name="solver_nwt" localSheetId="2" hidden="1">1</definedName>
    <definedName name="solver_nwt" localSheetId="6" hidden="1">1</definedName>
    <definedName name="solver_nwt" localSheetId="7" hidden="1">1</definedName>
    <definedName name="solver_nwt" localSheetId="1" hidden="1">1</definedName>
    <definedName name="solver_nwt" localSheetId="11" hidden="1">1</definedName>
    <definedName name="solver_nwt" localSheetId="12" hidden="1">1</definedName>
    <definedName name="solver_nwt" localSheetId="0" hidden="1">1</definedName>
    <definedName name="solver_nwt" localSheetId="4" hidden="1">1</definedName>
    <definedName name="solver_nwt" localSheetId="9" hidden="1">1</definedName>
    <definedName name="solver_nwt" localSheetId="13" hidden="1">1</definedName>
    <definedName name="solver_nwt" localSheetId="8" hidden="1">1</definedName>
    <definedName name="solver_nwt" localSheetId="3" hidden="1">1</definedName>
    <definedName name="solver_nwt" localSheetId="10" hidden="1">1</definedName>
    <definedName name="solver_nwt" localSheetId="5" hidden="1">1</definedName>
    <definedName name="solver_opt" localSheetId="2" hidden="1">Andy!$P$16</definedName>
    <definedName name="solver_opt" localSheetId="6" hidden="1">Atlantic!$O$16</definedName>
    <definedName name="solver_opt" localSheetId="7" hidden="1">Filtron!$P$17</definedName>
    <definedName name="solver_opt" localSheetId="1" hidden="1">'G Kunz'!$H$10</definedName>
    <definedName name="solver_opt" localSheetId="11" hidden="1">'G&amp;P'!$L$14</definedName>
    <definedName name="solver_opt" localSheetId="12" hidden="1">Hewlit!$O$16</definedName>
    <definedName name="solver_opt" localSheetId="0" hidden="1">Hilltop!$G$13</definedName>
    <definedName name="solver_opt" localSheetId="4" hidden="1">Meredith!$L$16</definedName>
    <definedName name="solver_opt" localSheetId="9" hidden="1">Northshore!$N$23</definedName>
    <definedName name="solver_opt" localSheetId="13" hidden="1">Seastrand!$H$11</definedName>
    <definedName name="solver_opt" localSheetId="8" hidden="1">'Super city'!$J$11</definedName>
    <definedName name="solver_opt" localSheetId="3" hidden="1">Tots!$J$13</definedName>
    <definedName name="solver_opt" localSheetId="10" hidden="1">'Union Airways'!$I$17</definedName>
    <definedName name="solver_opt" localSheetId="5" hidden="1">'Wonder toy'!$P$21</definedName>
    <definedName name="solver_pre" localSheetId="2" hidden="1">0.000001</definedName>
    <definedName name="solver_pre" localSheetId="6" hidden="1">0.000001</definedName>
    <definedName name="solver_pre" localSheetId="7" hidden="1">0.000001</definedName>
    <definedName name="solver_pre" localSheetId="1" hidden="1">0.000001</definedName>
    <definedName name="solver_pre" localSheetId="11" hidden="1">0.000001</definedName>
    <definedName name="solver_pre" localSheetId="12" hidden="1">0.000001</definedName>
    <definedName name="solver_pre" localSheetId="0" hidden="1">0.000001</definedName>
    <definedName name="solver_pre" localSheetId="4" hidden="1">0.000001</definedName>
    <definedName name="solver_pre" localSheetId="9" hidden="1">0.000001</definedName>
    <definedName name="solver_pre" localSheetId="13" hidden="1">0.000001</definedName>
    <definedName name="solver_pre" localSheetId="8" hidden="1">0.000001</definedName>
    <definedName name="solver_pre" localSheetId="3" hidden="1">0.000001</definedName>
    <definedName name="solver_pre" localSheetId="10" hidden="1">0.000001</definedName>
    <definedName name="solver_pre" localSheetId="5" hidden="1">0.000001</definedName>
    <definedName name="solver_rbv" localSheetId="2" hidden="1">1</definedName>
    <definedName name="solver_rbv" localSheetId="6" hidden="1">1</definedName>
    <definedName name="solver_rbv" localSheetId="7" hidden="1">1</definedName>
    <definedName name="solver_rbv" localSheetId="1" hidden="1">1</definedName>
    <definedName name="solver_rbv" localSheetId="11" hidden="1">1</definedName>
    <definedName name="solver_rbv" localSheetId="12" hidden="1">1</definedName>
    <definedName name="solver_rbv" localSheetId="0" hidden="1">1</definedName>
    <definedName name="solver_rbv" localSheetId="4" hidden="1">1</definedName>
    <definedName name="solver_rbv" localSheetId="9" hidden="1">2</definedName>
    <definedName name="solver_rbv" localSheetId="13" hidden="1">1</definedName>
    <definedName name="solver_rbv" localSheetId="8" hidden="1">1</definedName>
    <definedName name="solver_rbv" localSheetId="3" hidden="1">1</definedName>
    <definedName name="solver_rbv" localSheetId="10" hidden="1">1</definedName>
    <definedName name="solver_rbv" localSheetId="5" hidden="1">1</definedName>
    <definedName name="solver_rel1" localSheetId="2" hidden="1">1</definedName>
    <definedName name="solver_rel1" localSheetId="6" hidden="1">4</definedName>
    <definedName name="solver_rel1" localSheetId="7" hidden="1">2</definedName>
    <definedName name="solver_rel1" localSheetId="1" hidden="1">1</definedName>
    <definedName name="solver_rel1" localSheetId="11" hidden="1">4</definedName>
    <definedName name="solver_rel1" localSheetId="12" hidden="1">4</definedName>
    <definedName name="solver_rel1" localSheetId="0" hidden="1">2</definedName>
    <definedName name="solver_rel1" localSheetId="4" hidden="1">2</definedName>
    <definedName name="solver_rel1" localSheetId="9" hidden="1">4</definedName>
    <definedName name="solver_rel1" localSheetId="13" hidden="1">3</definedName>
    <definedName name="solver_rel1" localSheetId="8" hidden="1">3</definedName>
    <definedName name="solver_rel1" localSheetId="3" hidden="1">1</definedName>
    <definedName name="solver_rel1" localSheetId="10" hidden="1">4</definedName>
    <definedName name="solver_rel1" localSheetId="5" hidden="1">4</definedName>
    <definedName name="solver_rel2" localSheetId="2" hidden="1">2</definedName>
    <definedName name="solver_rel2" localSheetId="6" hidden="1">1</definedName>
    <definedName name="solver_rel2" localSheetId="7" hidden="1">2</definedName>
    <definedName name="solver_rel2" localSheetId="11" hidden="1">2</definedName>
    <definedName name="solver_rel2" localSheetId="12" hidden="1">2</definedName>
    <definedName name="solver_rel2" localSheetId="0" hidden="1">3</definedName>
    <definedName name="solver_rel2" localSheetId="4" hidden="1">1</definedName>
    <definedName name="solver_rel2" localSheetId="9" hidden="1">3</definedName>
    <definedName name="solver_rel2" localSheetId="13" hidden="1">1</definedName>
    <definedName name="solver_rel2" localSheetId="3" hidden="1">2</definedName>
    <definedName name="solver_rel2" localSheetId="10" hidden="1">3</definedName>
    <definedName name="solver_rel2" localSheetId="5" hidden="1">2</definedName>
    <definedName name="solver_rel3" localSheetId="2" hidden="1">2</definedName>
    <definedName name="solver_rel3" localSheetId="6" hidden="1">2</definedName>
    <definedName name="solver_rel3" localSheetId="7" hidden="1">1</definedName>
    <definedName name="solver_rel3" localSheetId="11" hidden="1">1</definedName>
    <definedName name="solver_rel3" localSheetId="0" hidden="1">1</definedName>
    <definedName name="solver_rel3" localSheetId="13" hidden="1">1</definedName>
    <definedName name="solver_rel3" localSheetId="5" hidden="1">1</definedName>
    <definedName name="solver_rel4" localSheetId="6" hidden="1">2</definedName>
    <definedName name="solver_rel4" localSheetId="0" hidden="1">1</definedName>
    <definedName name="solver_rel4" localSheetId="5" hidden="1">1</definedName>
    <definedName name="solver_rhs1" localSheetId="2" hidden="1">Andy!$P$10:$P$13</definedName>
    <definedName name="solver_rhs1" localSheetId="6" hidden="1">"integer"</definedName>
    <definedName name="solver_rhs1" localSheetId="7" hidden="1">Filtron!$P$12:$P$14</definedName>
    <definedName name="solver_rhs1" localSheetId="1" hidden="1">'G Kunz'!$H$6:$H$8</definedName>
    <definedName name="solver_rhs1" localSheetId="11" hidden="1">"integer"</definedName>
    <definedName name="solver_rhs1" localSheetId="12" hidden="1">"integer"</definedName>
    <definedName name="solver_rhs1" localSheetId="0" hidden="1">Hilltop!$G$11</definedName>
    <definedName name="solver_rhs1" localSheetId="4" hidden="1">Meredith!$L$10:$L$13</definedName>
    <definedName name="solver_rhs1" localSheetId="9" hidden="1">"integer"</definedName>
    <definedName name="solver_rhs1" localSheetId="13" hidden="1">Seastrand!$H$6:$H$8</definedName>
    <definedName name="solver_rhs1" localSheetId="8" hidden="1">'Super city'!$J$4:$J$9</definedName>
    <definedName name="solver_rhs1" localSheetId="3" hidden="1">Tots!$J$6:$J$8</definedName>
    <definedName name="solver_rhs1" localSheetId="10" hidden="1">"integer"</definedName>
    <definedName name="solver_rhs1" localSheetId="5" hidden="1">"integer"</definedName>
    <definedName name="solver_rhs2" localSheetId="2" hidden="1">Andy!$P$14</definedName>
    <definedName name="solver_rhs2" localSheetId="6" hidden="1">Atlantic!$P$10:$P$13</definedName>
    <definedName name="solver_rhs2" localSheetId="7" hidden="1">Filtron!$P$6:$P$8</definedName>
    <definedName name="solver_rhs2" localSheetId="11" hidden="1">'G&amp;P'!$L$10:$L$12</definedName>
    <definedName name="solver_rhs2" localSheetId="12" hidden="1">Hewlit!$P$6:$P$13</definedName>
    <definedName name="solver_rhs2" localSheetId="0" hidden="1">Hilltop!$G$6:$G$7</definedName>
    <definedName name="solver_rhs2" localSheetId="4" hidden="1">Meredith!$L$6:$L$9</definedName>
    <definedName name="solver_rhs2" localSheetId="9" hidden="1">Northshore!$N$7:$N$20</definedName>
    <definedName name="solver_rhs2" localSheetId="13" hidden="1">Seastrand!$H$9</definedName>
    <definedName name="solver_rhs2" localSheetId="3" hidden="1">Tots!$J$9:$J$11</definedName>
    <definedName name="solver_rhs2" localSheetId="10" hidden="1">'Union Airways'!$I$6:$I$15</definedName>
    <definedName name="solver_rhs2" localSheetId="5" hidden="1">'Wonder toy'!$P$12:$P$19</definedName>
    <definedName name="solver_rhs3" localSheetId="2" hidden="1">Andy!$P$6:$P$9</definedName>
    <definedName name="solver_rhs3" localSheetId="6" hidden="1">Atlantic!$P$14</definedName>
    <definedName name="solver_rhs3" localSheetId="7" hidden="1">Filtron!$P$9:$P$11</definedName>
    <definedName name="solver_rhs3" localSheetId="11" hidden="1">'G&amp;P'!$L$7:$L$9</definedName>
    <definedName name="solver_rhs3" localSheetId="0" hidden="1">Hilltop!$G$8:$G$10</definedName>
    <definedName name="solver_rhs3" localSheetId="13" hidden="1">Seastrand!$H$9</definedName>
    <definedName name="solver_rhs3" localSheetId="5" hidden="1">'Wonder toy'!$P$6:$P$11</definedName>
    <definedName name="solver_rhs4" localSheetId="6" hidden="1">Atlantic!$P$6:$P$9</definedName>
    <definedName name="solver_rhs4" localSheetId="0" hidden="1">Hilltop!$G$8:$G$10</definedName>
    <definedName name="solver_rhs4" localSheetId="5" hidden="1">'Wonder toy'!$P$6:$P$11</definedName>
    <definedName name="solver_rlx" localSheetId="2" hidden="1">2</definedName>
    <definedName name="solver_rlx" localSheetId="6" hidden="1">2</definedName>
    <definedName name="solver_rlx" localSheetId="7" hidden="1">2</definedName>
    <definedName name="solver_rlx" localSheetId="1" hidden="1">2</definedName>
    <definedName name="solver_rlx" localSheetId="11" hidden="1">2</definedName>
    <definedName name="solver_rlx" localSheetId="12" hidden="1">2</definedName>
    <definedName name="solver_rlx" localSheetId="0" hidden="1">2</definedName>
    <definedName name="solver_rlx" localSheetId="4" hidden="1">2</definedName>
    <definedName name="solver_rlx" localSheetId="9" hidden="1">2</definedName>
    <definedName name="solver_rlx" localSheetId="13" hidden="1">2</definedName>
    <definedName name="solver_rlx" localSheetId="8" hidden="1">2</definedName>
    <definedName name="solver_rlx" localSheetId="3" hidden="1">2</definedName>
    <definedName name="solver_rlx" localSheetId="10" hidden="1">2</definedName>
    <definedName name="solver_rlx" localSheetId="5" hidden="1">2</definedName>
    <definedName name="solver_rsd" localSheetId="2" hidden="1">0</definedName>
    <definedName name="solver_rsd" localSheetId="6" hidden="1">0</definedName>
    <definedName name="solver_rsd" localSheetId="7" hidden="1">0</definedName>
    <definedName name="solver_rsd" localSheetId="1" hidden="1">0</definedName>
    <definedName name="solver_rsd" localSheetId="11" hidden="1">0</definedName>
    <definedName name="solver_rsd" localSheetId="12" hidden="1">0</definedName>
    <definedName name="solver_rsd" localSheetId="0" hidden="1">0</definedName>
    <definedName name="solver_rsd" localSheetId="4" hidden="1">0</definedName>
    <definedName name="solver_rsd" localSheetId="9" hidden="1">0</definedName>
    <definedName name="solver_rsd" localSheetId="13" hidden="1">0</definedName>
    <definedName name="solver_rsd" localSheetId="8" hidden="1">0</definedName>
    <definedName name="solver_rsd" localSheetId="3" hidden="1">0</definedName>
    <definedName name="solver_rsd" localSheetId="10" hidden="1">0</definedName>
    <definedName name="solver_rsd" localSheetId="5" hidden="1">0</definedName>
    <definedName name="solver_scl" localSheetId="2" hidden="1">1</definedName>
    <definedName name="solver_scl" localSheetId="6" hidden="1">1</definedName>
    <definedName name="solver_scl" localSheetId="7" hidden="1">1</definedName>
    <definedName name="solver_scl" localSheetId="1" hidden="1">1</definedName>
    <definedName name="solver_scl" localSheetId="11" hidden="1">1</definedName>
    <definedName name="solver_scl" localSheetId="12" hidden="1">1</definedName>
    <definedName name="solver_scl" localSheetId="0" hidden="1">1</definedName>
    <definedName name="solver_scl" localSheetId="4" hidden="1">1</definedName>
    <definedName name="solver_scl" localSheetId="9" hidden="1">2</definedName>
    <definedName name="solver_scl" localSheetId="13" hidden="1">1</definedName>
    <definedName name="solver_scl" localSheetId="8" hidden="1">1</definedName>
    <definedName name="solver_scl" localSheetId="3" hidden="1">1</definedName>
    <definedName name="solver_scl" localSheetId="10" hidden="1">1</definedName>
    <definedName name="solver_scl" localSheetId="5" hidden="1">1</definedName>
    <definedName name="solver_sho" localSheetId="2" hidden="1">2</definedName>
    <definedName name="solver_sho" localSheetId="6" hidden="1">2</definedName>
    <definedName name="solver_sho" localSheetId="7" hidden="1">2</definedName>
    <definedName name="solver_sho" localSheetId="1" hidden="1">2</definedName>
    <definedName name="solver_sho" localSheetId="11" hidden="1">2</definedName>
    <definedName name="solver_sho" localSheetId="12" hidden="1">2</definedName>
    <definedName name="solver_sho" localSheetId="0" hidden="1">2</definedName>
    <definedName name="solver_sho" localSheetId="4" hidden="1">2</definedName>
    <definedName name="solver_sho" localSheetId="9" hidden="1">2</definedName>
    <definedName name="solver_sho" localSheetId="13" hidden="1">2</definedName>
    <definedName name="solver_sho" localSheetId="8" hidden="1">2</definedName>
    <definedName name="solver_sho" localSheetId="3" hidden="1">2</definedName>
    <definedName name="solver_sho" localSheetId="10" hidden="1">2</definedName>
    <definedName name="solver_sho" localSheetId="5" hidden="1">2</definedName>
    <definedName name="solver_ssz" localSheetId="2" hidden="1">100</definedName>
    <definedName name="solver_ssz" localSheetId="6" hidden="1">100</definedName>
    <definedName name="solver_ssz" localSheetId="7" hidden="1">100</definedName>
    <definedName name="solver_ssz" localSheetId="1" hidden="1">100</definedName>
    <definedName name="solver_ssz" localSheetId="11" hidden="1">100</definedName>
    <definedName name="solver_ssz" localSheetId="12" hidden="1">100</definedName>
    <definedName name="solver_ssz" localSheetId="0" hidden="1">100</definedName>
    <definedName name="solver_ssz" localSheetId="4" hidden="1">100</definedName>
    <definedName name="solver_ssz" localSheetId="9" hidden="1">100</definedName>
    <definedName name="solver_ssz" localSheetId="13" hidden="1">100</definedName>
    <definedName name="solver_ssz" localSheetId="8" hidden="1">100</definedName>
    <definedName name="solver_ssz" localSheetId="3" hidden="1">100</definedName>
    <definedName name="solver_ssz" localSheetId="10" hidden="1">100</definedName>
    <definedName name="solver_ssz" localSheetId="5" hidden="1">100</definedName>
    <definedName name="solver_tim" localSheetId="2" hidden="1">2147483647</definedName>
    <definedName name="solver_tim" localSheetId="6" hidden="1">2147483647</definedName>
    <definedName name="solver_tim" localSheetId="7" hidden="1">2147483647</definedName>
    <definedName name="solver_tim" localSheetId="1" hidden="1">2147483647</definedName>
    <definedName name="solver_tim" localSheetId="11" hidden="1">2147483647</definedName>
    <definedName name="solver_tim" localSheetId="12" hidden="1">2147483647</definedName>
    <definedName name="solver_tim" localSheetId="0" hidden="1">2147483647</definedName>
    <definedName name="solver_tim" localSheetId="4" hidden="1">2147483647</definedName>
    <definedName name="solver_tim" localSheetId="9" hidden="1">2147483647</definedName>
    <definedName name="solver_tim" localSheetId="13" hidden="1">2147483647</definedName>
    <definedName name="solver_tim" localSheetId="8" hidden="1">2147483647</definedName>
    <definedName name="solver_tim" localSheetId="3" hidden="1">2147483647</definedName>
    <definedName name="solver_tim" localSheetId="10" hidden="1">2147483647</definedName>
    <definedName name="solver_tim" localSheetId="5" hidden="1">2147483647</definedName>
    <definedName name="solver_tol" localSheetId="2" hidden="1">0.01</definedName>
    <definedName name="solver_tol" localSheetId="6" hidden="1">0.01</definedName>
    <definedName name="solver_tol" localSheetId="7" hidden="1">0.01</definedName>
    <definedName name="solver_tol" localSheetId="1" hidden="1">0.01</definedName>
    <definedName name="solver_tol" localSheetId="11" hidden="1">0.01</definedName>
    <definedName name="solver_tol" localSheetId="12" hidden="1">0.01</definedName>
    <definedName name="solver_tol" localSheetId="0" hidden="1">0.01</definedName>
    <definedName name="solver_tol" localSheetId="4" hidden="1">0.01</definedName>
    <definedName name="solver_tol" localSheetId="9" hidden="1">0.01</definedName>
    <definedName name="solver_tol" localSheetId="13" hidden="1">0.01</definedName>
    <definedName name="solver_tol" localSheetId="8" hidden="1">0.01</definedName>
    <definedName name="solver_tol" localSheetId="3" hidden="1">0.01</definedName>
    <definedName name="solver_tol" localSheetId="10" hidden="1">0.01</definedName>
    <definedName name="solver_tol" localSheetId="5" hidden="1">0.01</definedName>
    <definedName name="solver_typ" localSheetId="2" hidden="1">2</definedName>
    <definedName name="solver_typ" localSheetId="6" hidden="1">1</definedName>
    <definedName name="solver_typ" localSheetId="7" hidden="1">2</definedName>
    <definedName name="solver_typ" localSheetId="1" hidden="1">1</definedName>
    <definedName name="solver_typ" localSheetId="11" hidden="1">2</definedName>
    <definedName name="solver_typ" localSheetId="12" hidden="1">2</definedName>
    <definedName name="solver_typ" localSheetId="0" hidden="1">2</definedName>
    <definedName name="solver_typ" localSheetId="4" hidden="1">2</definedName>
    <definedName name="solver_typ" localSheetId="9" hidden="1">2</definedName>
    <definedName name="solver_typ" localSheetId="13" hidden="1">2</definedName>
    <definedName name="solver_typ" localSheetId="8" hidden="1">2</definedName>
    <definedName name="solver_typ" localSheetId="3" hidden="1">2</definedName>
    <definedName name="solver_typ" localSheetId="10" hidden="1">2</definedName>
    <definedName name="solver_typ" localSheetId="5" hidden="1">2</definedName>
    <definedName name="solver_val" localSheetId="2" hidden="1">0</definedName>
    <definedName name="solver_val" localSheetId="6" hidden="1">0</definedName>
    <definedName name="solver_val" localSheetId="7" hidden="1">0</definedName>
    <definedName name="solver_val" localSheetId="1" hidden="1">0</definedName>
    <definedName name="solver_val" localSheetId="11" hidden="1">0</definedName>
    <definedName name="solver_val" localSheetId="12" hidden="1">0</definedName>
    <definedName name="solver_val" localSheetId="0" hidden="1">0</definedName>
    <definedName name="solver_val" localSheetId="4" hidden="1">0</definedName>
    <definedName name="solver_val" localSheetId="9" hidden="1">0</definedName>
    <definedName name="solver_val" localSheetId="13" hidden="1">0</definedName>
    <definedName name="solver_val" localSheetId="8" hidden="1">0</definedName>
    <definedName name="solver_val" localSheetId="3" hidden="1">0</definedName>
    <definedName name="solver_val" localSheetId="10" hidden="1">0</definedName>
    <definedName name="solver_val" localSheetId="5" hidden="1">0</definedName>
    <definedName name="solver_ver" localSheetId="2" hidden="1">3</definedName>
    <definedName name="solver_ver" localSheetId="6" hidden="1">3</definedName>
    <definedName name="solver_ver" localSheetId="7" hidden="1">3</definedName>
    <definedName name="solver_ver" localSheetId="1" hidden="1">3</definedName>
    <definedName name="solver_ver" localSheetId="11" hidden="1">3</definedName>
    <definedName name="solver_ver" localSheetId="12" hidden="1">3</definedName>
    <definedName name="solver_ver" localSheetId="0" hidden="1">3</definedName>
    <definedName name="solver_ver" localSheetId="4" hidden="1">3</definedName>
    <definedName name="solver_ver" localSheetId="9" hidden="1">3</definedName>
    <definedName name="solver_ver" localSheetId="13" hidden="1">3</definedName>
    <definedName name="solver_ver" localSheetId="8" hidden="1">3</definedName>
    <definedName name="solver_ver" localSheetId="3" hidden="1">3</definedName>
    <definedName name="solver_ver" localSheetId="10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5" l="1"/>
  <c r="F6" i="15"/>
  <c r="H9" i="15"/>
  <c r="F9" i="15"/>
  <c r="H11" i="15"/>
  <c r="O16" i="16"/>
  <c r="J10" i="12"/>
  <c r="I17" i="11"/>
  <c r="B5" i="8"/>
  <c r="N23" i="8"/>
  <c r="J11" i="7"/>
  <c r="P17" i="6"/>
  <c r="P14" i="6"/>
  <c r="N14" i="6"/>
  <c r="P13" i="6"/>
  <c r="N13" i="6"/>
  <c r="P12" i="6"/>
  <c r="N12" i="6"/>
  <c r="P8" i="6"/>
  <c r="P7" i="6"/>
  <c r="N7" i="6"/>
  <c r="P6" i="6"/>
  <c r="N6" i="6"/>
  <c r="O16" i="10" l="1"/>
  <c r="N14" i="10"/>
  <c r="P6" i="10"/>
  <c r="N6" i="10"/>
  <c r="P21" i="9"/>
  <c r="P17" i="9"/>
  <c r="P16" i="9"/>
  <c r="P15" i="9"/>
  <c r="P14" i="9"/>
  <c r="P13" i="9"/>
  <c r="P12" i="9"/>
  <c r="N15" i="9"/>
  <c r="N12" i="9"/>
  <c r="N19" i="9"/>
  <c r="N18" i="9"/>
  <c r="N14" i="9"/>
  <c r="N13" i="9"/>
  <c r="J6" i="5"/>
  <c r="J13" i="5"/>
  <c r="L12" i="5"/>
  <c r="J12" i="5"/>
  <c r="L11" i="5"/>
  <c r="J11" i="5"/>
  <c r="L10" i="5"/>
  <c r="J10" i="5"/>
  <c r="J8" i="5"/>
  <c r="J7" i="5"/>
  <c r="J13" i="4"/>
  <c r="N14" i="3"/>
  <c r="N13" i="3"/>
  <c r="N12" i="3"/>
  <c r="P16" i="3"/>
  <c r="L14" i="3"/>
  <c r="P9" i="3"/>
  <c r="N9" i="3"/>
  <c r="P8" i="3"/>
  <c r="N8" i="3"/>
  <c r="N7" i="3"/>
  <c r="P7" i="3"/>
  <c r="P6" i="3"/>
  <c r="F8" i="2"/>
  <c r="H7" i="2"/>
  <c r="H6" i="2"/>
  <c r="G7" i="1"/>
  <c r="G6" i="1"/>
  <c r="G13" i="1"/>
  <c r="N7" i="16"/>
  <c r="N8" i="16"/>
  <c r="N9" i="16"/>
  <c r="N10" i="16"/>
  <c r="N11" i="16"/>
  <c r="N12" i="16"/>
  <c r="N13" i="16"/>
  <c r="N6" i="16"/>
  <c r="F8" i="15"/>
  <c r="J8" i="12"/>
  <c r="J11" i="12"/>
  <c r="L8" i="12"/>
  <c r="L7" i="12"/>
  <c r="L9" i="12"/>
  <c r="N17" i="9"/>
  <c r="N16" i="9"/>
  <c r="N7" i="9"/>
  <c r="N6" i="9"/>
  <c r="G15" i="11"/>
  <c r="E5" i="8"/>
  <c r="L18" i="8"/>
  <c r="L7" i="8"/>
  <c r="H4" i="7"/>
  <c r="N9" i="10"/>
  <c r="P9" i="10"/>
  <c r="P7" i="10"/>
  <c r="L16" i="5"/>
  <c r="N10" i="3"/>
  <c r="N6" i="3"/>
  <c r="H10" i="2"/>
  <c r="F7" i="2"/>
  <c r="F6" i="2"/>
  <c r="E6" i="1"/>
  <c r="E11" i="1"/>
  <c r="E10" i="1"/>
  <c r="N9" i="6"/>
  <c r="N8" i="6"/>
  <c r="F7" i="15"/>
  <c r="N11" i="9"/>
  <c r="J7" i="12"/>
  <c r="J9" i="12"/>
  <c r="J12" i="12"/>
  <c r="L14" i="12"/>
  <c r="G7" i="11"/>
  <c r="G8" i="11"/>
  <c r="G9" i="11"/>
  <c r="G10" i="11"/>
  <c r="G11" i="11"/>
  <c r="G12" i="11"/>
  <c r="G13" i="11"/>
  <c r="G14" i="11"/>
  <c r="G6" i="11"/>
  <c r="F5" i="8"/>
  <c r="G5" i="8"/>
  <c r="H5" i="8"/>
  <c r="I5" i="8"/>
  <c r="J5" i="8"/>
  <c r="K5" i="8"/>
  <c r="C5" i="8"/>
  <c r="D5" i="8"/>
  <c r="L20" i="8"/>
  <c r="L19" i="8"/>
  <c r="L17" i="8"/>
  <c r="L8" i="8"/>
  <c r="L9" i="8"/>
  <c r="L10" i="8"/>
  <c r="L11" i="8"/>
  <c r="L12" i="8"/>
  <c r="L13" i="8"/>
  <c r="L14" i="8"/>
  <c r="L15" i="8"/>
  <c r="L16" i="8"/>
  <c r="P8" i="10"/>
  <c r="N7" i="10"/>
  <c r="N8" i="10"/>
  <c r="N10" i="10"/>
  <c r="N11" i="10"/>
  <c r="N12" i="10"/>
  <c r="N13" i="10"/>
  <c r="N8" i="9"/>
  <c r="N9" i="9"/>
  <c r="N10" i="9"/>
  <c r="M14" i="3"/>
  <c r="L13" i="5"/>
  <c r="H6" i="7"/>
  <c r="H5" i="7" l="1"/>
  <c r="H7" i="7"/>
  <c r="H8" i="7"/>
  <c r="H9" i="7"/>
  <c r="H11" i="4"/>
  <c r="J9" i="5"/>
  <c r="H7" i="4"/>
  <c r="H8" i="4"/>
  <c r="H6" i="4"/>
  <c r="N10" i="6" l="1"/>
  <c r="N11" i="6"/>
  <c r="H9" i="4"/>
  <c r="H10" i="4"/>
  <c r="N11" i="3"/>
  <c r="E7" i="1"/>
  <c r="E8" i="1"/>
  <c r="E9" i="1" l="1"/>
</calcChain>
</file>

<file path=xl/sharedStrings.xml><?xml version="1.0" encoding="utf-8"?>
<sst xmlns="http://schemas.openxmlformats.org/spreadsheetml/2006/main" count="238" uniqueCount="90">
  <si>
    <t>X1</t>
  </si>
  <si>
    <t>X2</t>
  </si>
  <si>
    <t>X3</t>
  </si>
  <si>
    <t>&gt;=</t>
  </si>
  <si>
    <t>&lt;=</t>
  </si>
  <si>
    <t>=</t>
  </si>
  <si>
    <t>x1</t>
  </si>
  <si>
    <t>x2</t>
  </si>
  <si>
    <t>l1</t>
  </si>
  <si>
    <t>l2</t>
  </si>
  <si>
    <t>Sr1</t>
  </si>
  <si>
    <t>So1</t>
  </si>
  <si>
    <t>Sr2</t>
  </si>
  <si>
    <t>So2</t>
  </si>
  <si>
    <t>Dr1</t>
  </si>
  <si>
    <t>Do1</t>
  </si>
  <si>
    <t>Dr2</t>
  </si>
  <si>
    <t>Do2</t>
  </si>
  <si>
    <t>Is1</t>
  </si>
  <si>
    <t>Id1</t>
  </si>
  <si>
    <t>Is2</t>
  </si>
  <si>
    <t>Id2</t>
  </si>
  <si>
    <t>Fm</t>
  </si>
  <si>
    <t>Fp</t>
  </si>
  <si>
    <t>Sm</t>
  </si>
  <si>
    <t>Sp</t>
  </si>
  <si>
    <t>Rm</t>
  </si>
  <si>
    <t>Rp</t>
  </si>
  <si>
    <t>P1</t>
  </si>
  <si>
    <t>P2</t>
  </si>
  <si>
    <t>P3</t>
  </si>
  <si>
    <t>I1</t>
  </si>
  <si>
    <t>I2</t>
  </si>
  <si>
    <t>I3</t>
  </si>
  <si>
    <t>D1</t>
  </si>
  <si>
    <t>D2</t>
  </si>
  <si>
    <t>D3</t>
  </si>
  <si>
    <t>S1</t>
  </si>
  <si>
    <t>S2</t>
  </si>
  <si>
    <t>S3</t>
  </si>
  <si>
    <t>P4</t>
  </si>
  <si>
    <t>I4</t>
  </si>
  <si>
    <t>P5</t>
  </si>
  <si>
    <t>P6</t>
  </si>
  <si>
    <t>X4</t>
  </si>
  <si>
    <t>X5</t>
  </si>
  <si>
    <t>X6</t>
  </si>
  <si>
    <t>P7</t>
  </si>
  <si>
    <t>F1</t>
  </si>
  <si>
    <t>F2</t>
  </si>
  <si>
    <t>F3</t>
  </si>
  <si>
    <t>R1</t>
  </si>
  <si>
    <t>R2</t>
  </si>
  <si>
    <t>R3</t>
  </si>
  <si>
    <t>Ir1</t>
  </si>
  <si>
    <t>Ir2</t>
  </si>
  <si>
    <t>Ir3</t>
  </si>
  <si>
    <t>Is3</t>
  </si>
  <si>
    <t>B1</t>
  </si>
  <si>
    <t>B2</t>
  </si>
  <si>
    <t>B3</t>
  </si>
  <si>
    <t>B4</t>
  </si>
  <si>
    <t>S4</t>
  </si>
  <si>
    <t>Start</t>
  </si>
  <si>
    <t>End</t>
  </si>
  <si>
    <t>Shift</t>
  </si>
  <si>
    <t>Part time</t>
  </si>
  <si>
    <t>Full time</t>
  </si>
  <si>
    <t>S5</t>
  </si>
  <si>
    <t>M1</t>
  </si>
  <si>
    <t>M2</t>
  </si>
  <si>
    <t>Ta</t>
  </si>
  <si>
    <t>Tb</t>
  </si>
  <si>
    <t>Tc</t>
  </si>
  <si>
    <t>Tba</t>
  </si>
  <si>
    <t>Tca</t>
  </si>
  <si>
    <t>Tcb</t>
  </si>
  <si>
    <t>F</t>
  </si>
  <si>
    <t>S6</t>
  </si>
  <si>
    <t>S7</t>
  </si>
  <si>
    <t>S8</t>
  </si>
  <si>
    <t>X1r</t>
  </si>
  <si>
    <t>X2r</t>
  </si>
  <si>
    <t>X1h</t>
  </si>
  <si>
    <t>X2h</t>
  </si>
  <si>
    <t>year beg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</si>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</sst>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C09]#,##0.00"/>
    <numFmt numFmtId="165" formatCode="[$$-C09]#,##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3" borderId="0" xfId="0" applyNumberFormat="1" applyFill="1"/>
    <xf numFmtId="0" fontId="0" fillId="0" borderId="1" xfId="0" applyBorder="1"/>
    <xf numFmtId="0" fontId="0" fillId="7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7" borderId="5" xfId="0" applyFill="1" applyBorder="1"/>
    <xf numFmtId="0" fontId="0" fillId="0" borderId="6" xfId="0" applyBorder="1"/>
    <xf numFmtId="0" fontId="0" fillId="0" borderId="7" xfId="0" applyBorder="1"/>
    <xf numFmtId="0" fontId="0" fillId="7" borderId="8" xfId="0" applyFill="1" applyBorder="1"/>
    <xf numFmtId="0" fontId="0" fillId="6" borderId="4" xfId="0" applyFill="1" applyBorder="1"/>
    <xf numFmtId="0" fontId="0" fillId="7" borderId="4" xfId="0" applyFill="1" applyBorder="1"/>
    <xf numFmtId="0" fontId="0" fillId="8" borderId="0" xfId="0" applyFill="1"/>
    <xf numFmtId="165" fontId="0" fillId="3" borderId="0" xfId="0" applyNumberFormat="1" applyFill="1"/>
    <xf numFmtId="1" fontId="0" fillId="2" borderId="0" xfId="0" applyNumberFormat="1" applyFill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96DAF77-C92D-48E6-9C7A-BE95AC552B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5C5B-C90D-4F91-BB8B-F5D21FB8B05F}">
  <dimension ref="B2:G13"/>
  <sheetViews>
    <sheetView workbookViewId="0">
      <selection activeCell="G8" sqref="G8"/>
    </sheetView>
  </sheetViews>
  <sheetFormatPr defaultRowHeight="14.4" x14ac:dyDescent="0.3"/>
  <cols>
    <col min="10" max="10" width="11.21875" bestFit="1" customWidth="1"/>
  </cols>
  <sheetData>
    <row r="2" spans="2:7" x14ac:dyDescent="0.3">
      <c r="B2" t="s">
        <v>0</v>
      </c>
      <c r="C2" t="s">
        <v>1</v>
      </c>
      <c r="D2" t="s">
        <v>2</v>
      </c>
    </row>
    <row r="3" spans="2:7" x14ac:dyDescent="0.3">
      <c r="B3" s="1">
        <v>500</v>
      </c>
      <c r="C3" s="1">
        <v>500</v>
      </c>
      <c r="D3" s="1">
        <v>0</v>
      </c>
    </row>
    <row r="4" spans="2:7" x14ac:dyDescent="0.3">
      <c r="B4" s="2">
        <v>0.5</v>
      </c>
      <c r="C4" s="2">
        <v>0.7</v>
      </c>
      <c r="D4" s="2">
        <v>0.45</v>
      </c>
    </row>
    <row r="6" spans="2:7" x14ac:dyDescent="0.3">
      <c r="B6" s="3">
        <v>0.75</v>
      </c>
      <c r="C6" s="3">
        <v>0.85</v>
      </c>
      <c r="D6" s="3">
        <v>0.6</v>
      </c>
      <c r="E6">
        <f t="shared" ref="E6:E11" si="0">SUMPRODUCT($B$3:$D$3,B6:D6)</f>
        <v>800</v>
      </c>
      <c r="F6" t="s">
        <v>3</v>
      </c>
      <c r="G6" s="3">
        <f>0.8*SUM(B3:D3)</f>
        <v>800</v>
      </c>
    </row>
    <row r="7" spans="2:7" x14ac:dyDescent="0.3">
      <c r="B7" s="3">
        <v>0.86</v>
      </c>
      <c r="C7" s="3">
        <v>0.88</v>
      </c>
      <c r="D7" s="3">
        <v>0.75</v>
      </c>
      <c r="E7">
        <f t="shared" si="0"/>
        <v>870</v>
      </c>
      <c r="F7" t="s">
        <v>3</v>
      </c>
      <c r="G7" s="3">
        <f>0.75*SUM(B3:D3)</f>
        <v>750</v>
      </c>
    </row>
    <row r="8" spans="2:7" x14ac:dyDescent="0.3">
      <c r="B8" s="3">
        <v>1</v>
      </c>
      <c r="C8" s="3">
        <v>0</v>
      </c>
      <c r="D8" s="3">
        <v>0</v>
      </c>
      <c r="E8">
        <f t="shared" si="0"/>
        <v>500</v>
      </c>
      <c r="F8" t="s">
        <v>4</v>
      </c>
      <c r="G8" s="3">
        <v>500</v>
      </c>
    </row>
    <row r="9" spans="2:7" x14ac:dyDescent="0.3">
      <c r="B9" s="3">
        <v>0</v>
      </c>
      <c r="C9" s="3">
        <v>1</v>
      </c>
      <c r="D9" s="3">
        <v>0</v>
      </c>
      <c r="E9">
        <f t="shared" si="0"/>
        <v>500</v>
      </c>
      <c r="F9" t="s">
        <v>4</v>
      </c>
      <c r="G9" s="3">
        <v>600</v>
      </c>
    </row>
    <row r="10" spans="2:7" x14ac:dyDescent="0.3">
      <c r="B10" s="3">
        <v>0</v>
      </c>
      <c r="C10" s="3">
        <v>0</v>
      </c>
      <c r="D10" s="3">
        <v>1</v>
      </c>
      <c r="E10">
        <f t="shared" si="0"/>
        <v>0</v>
      </c>
      <c r="F10" t="s">
        <v>4</v>
      </c>
      <c r="G10" s="3">
        <v>400</v>
      </c>
    </row>
    <row r="11" spans="2:7" x14ac:dyDescent="0.3">
      <c r="B11" s="3">
        <v>1</v>
      </c>
      <c r="C11" s="3">
        <v>1</v>
      </c>
      <c r="D11" s="3">
        <v>1</v>
      </c>
      <c r="E11">
        <f t="shared" si="0"/>
        <v>1000</v>
      </c>
      <c r="F11" t="s">
        <v>5</v>
      </c>
      <c r="G11" s="3">
        <v>1000</v>
      </c>
    </row>
    <row r="13" spans="2:7" x14ac:dyDescent="0.3">
      <c r="G13" s="4">
        <f>SUMPRODUCT(B3:D3,B4:D4)</f>
        <v>600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2252-2919-401B-A760-BDE01A36ECBB}">
  <dimension ref="B2:H10"/>
  <sheetViews>
    <sheetView workbookViewId="0">
      <selection activeCell="F9" sqref="F9"/>
    </sheetView>
  </sheetViews>
  <sheetFormatPr defaultRowHeight="14.4" x14ac:dyDescent="0.3"/>
  <sheetData>
    <row r="2" spans="2:8" x14ac:dyDescent="0.3">
      <c r="B2" t="s">
        <v>6</v>
      </c>
      <c r="C2" t="s">
        <v>7</v>
      </c>
      <c r="D2" t="s">
        <v>8</v>
      </c>
      <c r="E2" t="s">
        <v>9</v>
      </c>
    </row>
    <row r="3" spans="2:8" x14ac:dyDescent="0.3">
      <c r="B3" s="1">
        <v>50</v>
      </c>
      <c r="C3" s="1">
        <v>0</v>
      </c>
      <c r="D3" s="1">
        <v>300</v>
      </c>
      <c r="E3" s="1">
        <v>600</v>
      </c>
    </row>
    <row r="4" spans="2:8" x14ac:dyDescent="0.3">
      <c r="B4" s="2">
        <v>25</v>
      </c>
      <c r="C4" s="2">
        <v>20</v>
      </c>
    </row>
    <row r="6" spans="2:8" x14ac:dyDescent="0.3">
      <c r="B6" s="3">
        <v>6</v>
      </c>
      <c r="C6" s="3">
        <v>8</v>
      </c>
      <c r="D6" s="3">
        <v>0</v>
      </c>
      <c r="E6" s="3">
        <v>0</v>
      </c>
      <c r="F6">
        <f>SUMPRODUCT(B6:C6,$B$3:$C$3)</f>
        <v>300</v>
      </c>
      <c r="G6" t="s">
        <v>4</v>
      </c>
      <c r="H6" s="3">
        <f>D3</f>
        <v>300</v>
      </c>
    </row>
    <row r="7" spans="2:8" x14ac:dyDescent="0.3">
      <c r="B7" s="3">
        <v>12</v>
      </c>
      <c r="C7" s="3">
        <v>10</v>
      </c>
      <c r="D7" s="3">
        <v>0</v>
      </c>
      <c r="E7" s="3">
        <v>0</v>
      </c>
      <c r="F7">
        <f>SUMPRODUCT(B7:C7,$B$3:$C$3)</f>
        <v>600</v>
      </c>
      <c r="G7" t="s">
        <v>4</v>
      </c>
      <c r="H7" s="3">
        <f>E3</f>
        <v>600</v>
      </c>
    </row>
    <row r="8" spans="2:8" x14ac:dyDescent="0.3">
      <c r="B8" s="3">
        <v>0</v>
      </c>
      <c r="C8" s="3">
        <v>0</v>
      </c>
      <c r="D8" s="3">
        <v>1</v>
      </c>
      <c r="E8" s="3">
        <v>1</v>
      </c>
      <c r="F8">
        <f>SUMPRODUCT(D8:E8,D3:E3)</f>
        <v>900</v>
      </c>
      <c r="G8" t="s">
        <v>4</v>
      </c>
      <c r="H8" s="3">
        <v>900</v>
      </c>
    </row>
    <row r="10" spans="2:8" x14ac:dyDescent="0.3">
      <c r="H10" s="4">
        <f>SUMPRODUCT(B3:C3,B4:C4)</f>
        <v>1250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9635-23B6-4395-A312-E0285E7D2BCB}">
  <dimension ref="B2:P16"/>
  <sheetViews>
    <sheetView workbookViewId="0">
      <selection activeCell="O14" sqref="O14"/>
    </sheetView>
  </sheetViews>
  <sheetFormatPr defaultRowHeight="14.4" x14ac:dyDescent="0.3"/>
  <sheetData>
    <row r="2" spans="2:16" x14ac:dyDescent="0.3"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2:16" x14ac:dyDescent="0.3">
      <c r="B3" s="1">
        <v>559.99999999999977</v>
      </c>
      <c r="C3" s="1">
        <v>440.00000000000017</v>
      </c>
      <c r="D3" s="1">
        <v>750</v>
      </c>
      <c r="E3" s="1">
        <v>0</v>
      </c>
      <c r="F3" s="1">
        <v>1200</v>
      </c>
      <c r="G3" s="1">
        <v>0</v>
      </c>
      <c r="H3" s="1">
        <v>1000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2:16" x14ac:dyDescent="0.3">
      <c r="B4" s="2">
        <v>25</v>
      </c>
      <c r="C4" s="2">
        <v>37.5</v>
      </c>
      <c r="D4" s="2">
        <v>25</v>
      </c>
      <c r="E4" s="2">
        <v>37.5</v>
      </c>
      <c r="F4" s="2">
        <v>40</v>
      </c>
      <c r="G4" s="2">
        <v>60</v>
      </c>
      <c r="H4" s="2">
        <v>40</v>
      </c>
      <c r="I4" s="2">
        <v>60</v>
      </c>
      <c r="J4" s="2">
        <v>2</v>
      </c>
      <c r="K4" s="2">
        <v>2</v>
      </c>
      <c r="L4" s="2">
        <v>2</v>
      </c>
      <c r="M4" s="2">
        <v>2</v>
      </c>
    </row>
    <row r="6" spans="2:16" x14ac:dyDescent="0.3">
      <c r="B6" s="3">
        <v>1</v>
      </c>
      <c r="C6" s="3">
        <v>1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>
        <f>SUMPRODUCT($B$3:$M$3,B6:M6)-1000</f>
        <v>0</v>
      </c>
      <c r="O6" t="s">
        <v>5</v>
      </c>
      <c r="P6" s="3">
        <f>J3</f>
        <v>0</v>
      </c>
    </row>
    <row r="7" spans="2:16" x14ac:dyDescent="0.3">
      <c r="B7" s="3">
        <v>0</v>
      </c>
      <c r="C7" s="3">
        <v>0</v>
      </c>
      <c r="D7" s="3">
        <v>1</v>
      </c>
      <c r="E7" s="3">
        <v>1</v>
      </c>
      <c r="F7" s="3">
        <v>0</v>
      </c>
      <c r="G7" s="3">
        <v>0</v>
      </c>
      <c r="H7" s="3">
        <v>0</v>
      </c>
      <c r="I7" s="3">
        <v>0</v>
      </c>
      <c r="J7" s="3">
        <v>1</v>
      </c>
      <c r="K7" s="3">
        <v>0</v>
      </c>
      <c r="L7" s="3">
        <v>0</v>
      </c>
      <c r="M7" s="3">
        <v>0</v>
      </c>
      <c r="N7">
        <f>SUMPRODUCT($B$3:$M$3,B7:M7)-750</f>
        <v>0</v>
      </c>
      <c r="O7" t="s">
        <v>5</v>
      </c>
      <c r="P7" s="3">
        <f>L3</f>
        <v>0</v>
      </c>
    </row>
    <row r="8" spans="2:16" x14ac:dyDescent="0.3">
      <c r="B8" s="3">
        <v>0</v>
      </c>
      <c r="C8" s="3">
        <v>0</v>
      </c>
      <c r="D8" s="3">
        <v>0</v>
      </c>
      <c r="E8" s="3">
        <v>0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>
        <f>SUMPRODUCT($B$3:$M$3,B8:M8)-1200</f>
        <v>0</v>
      </c>
      <c r="O8" t="s">
        <v>5</v>
      </c>
      <c r="P8" s="3">
        <f>K3</f>
        <v>0</v>
      </c>
    </row>
    <row r="9" spans="2:16" x14ac:dyDescent="0.3"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1</v>
      </c>
      <c r="J9" s="3">
        <v>0</v>
      </c>
      <c r="K9" s="3">
        <v>1</v>
      </c>
      <c r="L9" s="3">
        <v>0</v>
      </c>
      <c r="M9" s="3">
        <v>0</v>
      </c>
      <c r="N9">
        <f>SUMPRODUCT($B$3:$M$3,B9:M9)-1000</f>
        <v>0</v>
      </c>
      <c r="O9" t="s">
        <v>5</v>
      </c>
      <c r="P9" s="3">
        <f>M3</f>
        <v>0</v>
      </c>
    </row>
    <row r="10" spans="2:16" x14ac:dyDescent="0.3">
      <c r="B10" s="3">
        <v>0.5</v>
      </c>
      <c r="C10" s="3">
        <v>0</v>
      </c>
      <c r="D10" s="3">
        <v>0</v>
      </c>
      <c r="E10" s="3">
        <v>0</v>
      </c>
      <c r="F10" s="3">
        <v>0.6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>
        <f>SUMPRODUCT($B$3:$M$3,B10:M10)</f>
        <v>999.99999999999989</v>
      </c>
      <c r="O10" t="s">
        <v>4</v>
      </c>
      <c r="P10" s="3">
        <v>1000</v>
      </c>
    </row>
    <row r="11" spans="2:16" x14ac:dyDescent="0.3">
      <c r="B11" s="3">
        <v>0</v>
      </c>
      <c r="C11" s="3">
        <v>0</v>
      </c>
      <c r="D11" s="3">
        <v>0.5</v>
      </c>
      <c r="E11" s="3">
        <v>0</v>
      </c>
      <c r="F11" s="3">
        <v>0</v>
      </c>
      <c r="G11" s="3">
        <v>0</v>
      </c>
      <c r="H11" s="3">
        <v>0.5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>
        <f t="shared" ref="N11" si="0">SUMPRODUCT($B$3:$M$3,B11:M11)</f>
        <v>875</v>
      </c>
      <c r="O11" t="s">
        <v>4</v>
      </c>
      <c r="P11" s="3">
        <v>1000</v>
      </c>
    </row>
    <row r="12" spans="2:16" x14ac:dyDescent="0.3">
      <c r="B12" s="3">
        <v>0</v>
      </c>
      <c r="C12" s="3">
        <v>0.5</v>
      </c>
      <c r="D12" s="3">
        <v>0</v>
      </c>
      <c r="E12" s="3">
        <v>0</v>
      </c>
      <c r="F12" s="3">
        <v>0</v>
      </c>
      <c r="G12" s="3">
        <v>0.6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>
        <f>SUMPRODUCT($B$3:$M$3,B12:M12)</f>
        <v>220.00000000000009</v>
      </c>
      <c r="O12" t="s">
        <v>4</v>
      </c>
      <c r="P12" s="3">
        <v>500</v>
      </c>
    </row>
    <row r="13" spans="2:16" x14ac:dyDescent="0.3">
      <c r="B13" s="3">
        <v>0</v>
      </c>
      <c r="C13" s="3">
        <v>0</v>
      </c>
      <c r="D13" s="3">
        <v>0</v>
      </c>
      <c r="E13" s="3">
        <v>0.5</v>
      </c>
      <c r="F13" s="3">
        <v>0</v>
      </c>
      <c r="G13" s="3">
        <v>0</v>
      </c>
      <c r="H13" s="3">
        <v>0</v>
      </c>
      <c r="I13" s="3">
        <v>0.6</v>
      </c>
      <c r="J13" s="3">
        <v>0</v>
      </c>
      <c r="K13" s="3">
        <v>0</v>
      </c>
      <c r="L13" s="3">
        <v>0</v>
      </c>
      <c r="M13" s="3">
        <v>0</v>
      </c>
      <c r="N13">
        <f>SUMPRODUCT($B$3:$M$3,B13:M13)</f>
        <v>0</v>
      </c>
      <c r="O13" t="s">
        <v>4</v>
      </c>
      <c r="P13" s="3">
        <v>500</v>
      </c>
    </row>
    <row r="14" spans="2:16" x14ac:dyDescent="0.3">
      <c r="L14" s="3">
        <f>L3</f>
        <v>0</v>
      </c>
      <c r="M14" s="3">
        <f>M3</f>
        <v>0</v>
      </c>
      <c r="N14">
        <f>SUM(L14:M14)</f>
        <v>0</v>
      </c>
      <c r="O14" t="s">
        <v>5</v>
      </c>
      <c r="P14" s="3">
        <v>0</v>
      </c>
    </row>
    <row r="16" spans="2:16" x14ac:dyDescent="0.3">
      <c r="P16" s="4">
        <f>SUMPRODUCT(B3:M3,B4:M4)</f>
        <v>137250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05B0-9645-4F8D-A28D-B0C916BCA20F}">
  <dimension ref="B2:J13"/>
  <sheetViews>
    <sheetView workbookViewId="0">
      <selection activeCell="B9" sqref="B9"/>
    </sheetView>
  </sheetViews>
  <sheetFormatPr defaultRowHeight="14.4" x14ac:dyDescent="0.3"/>
  <sheetData>
    <row r="2" spans="2:10" x14ac:dyDescent="0.3"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</row>
    <row r="3" spans="2:10" x14ac:dyDescent="0.3">
      <c r="B3" s="1">
        <v>10000</v>
      </c>
      <c r="C3" s="1">
        <v>2000.0000000000002</v>
      </c>
      <c r="D3" s="1">
        <v>2000.0000000000002</v>
      </c>
      <c r="E3" s="1">
        <v>10000</v>
      </c>
      <c r="F3" s="1">
        <v>24000</v>
      </c>
      <c r="G3" s="1">
        <v>0</v>
      </c>
    </row>
    <row r="4" spans="2:10" x14ac:dyDescent="0.3">
      <c r="B4" s="2">
        <v>8</v>
      </c>
      <c r="C4" s="2">
        <v>12</v>
      </c>
      <c r="D4" s="2">
        <v>6</v>
      </c>
      <c r="E4" s="2">
        <v>9</v>
      </c>
      <c r="F4" s="2">
        <v>1</v>
      </c>
      <c r="G4" s="2">
        <v>3</v>
      </c>
    </row>
    <row r="6" spans="2:10" x14ac:dyDescent="0.3">
      <c r="B6" s="3">
        <v>3</v>
      </c>
      <c r="C6" s="3">
        <v>0</v>
      </c>
      <c r="D6" s="3">
        <v>4</v>
      </c>
      <c r="E6" s="3">
        <v>0</v>
      </c>
      <c r="F6" s="3">
        <v>0.5</v>
      </c>
      <c r="G6" s="3">
        <v>0</v>
      </c>
      <c r="H6">
        <f>SUMPRODUCT($B$3:$G$3,B6:G6)</f>
        <v>50000</v>
      </c>
      <c r="I6" t="s">
        <v>4</v>
      </c>
      <c r="J6" s="3">
        <v>50000</v>
      </c>
    </row>
    <row r="7" spans="2:10" x14ac:dyDescent="0.3">
      <c r="B7" s="3">
        <v>10</v>
      </c>
      <c r="C7" s="3">
        <v>0</v>
      </c>
      <c r="D7" s="3">
        <v>6</v>
      </c>
      <c r="E7" s="3">
        <v>0</v>
      </c>
      <c r="F7" s="3">
        <v>2</v>
      </c>
      <c r="G7" s="3">
        <v>0</v>
      </c>
      <c r="H7">
        <f>SUMPRODUCT($B$3:$G$3,B7:G7)</f>
        <v>160000</v>
      </c>
      <c r="I7" t="s">
        <v>4</v>
      </c>
      <c r="J7" s="3">
        <v>160000</v>
      </c>
    </row>
    <row r="8" spans="2:10" x14ac:dyDescent="0.3">
      <c r="B8" s="3">
        <v>2</v>
      </c>
      <c r="C8" s="3">
        <v>0</v>
      </c>
      <c r="D8" s="3">
        <v>2</v>
      </c>
      <c r="E8" s="3">
        <v>0</v>
      </c>
      <c r="F8" s="3">
        <v>0.1</v>
      </c>
      <c r="G8" s="3">
        <v>0</v>
      </c>
      <c r="H8">
        <f>SUMPRODUCT($B$3:$G$3,B8:G8)</f>
        <v>26400</v>
      </c>
      <c r="I8" t="s">
        <v>4</v>
      </c>
      <c r="J8" s="3">
        <v>30000</v>
      </c>
    </row>
    <row r="9" spans="2:10" x14ac:dyDescent="0.3">
      <c r="B9" s="3">
        <v>1</v>
      </c>
      <c r="C9" s="3">
        <v>1</v>
      </c>
      <c r="D9" s="3">
        <v>0</v>
      </c>
      <c r="E9" s="3">
        <v>0</v>
      </c>
      <c r="F9" s="3">
        <v>0</v>
      </c>
      <c r="G9" s="3">
        <v>0</v>
      </c>
      <c r="H9">
        <f t="shared" ref="H9:H10" si="0">SUMPRODUCT($B$3:$G$3,B9:G9)</f>
        <v>12000</v>
      </c>
      <c r="I9" t="s">
        <v>5</v>
      </c>
      <c r="J9" s="3">
        <v>12000</v>
      </c>
    </row>
    <row r="10" spans="2:10" x14ac:dyDescent="0.3">
      <c r="B10" s="3">
        <v>0</v>
      </c>
      <c r="C10" s="3">
        <v>0</v>
      </c>
      <c r="D10" s="3">
        <v>1</v>
      </c>
      <c r="E10" s="3">
        <v>1</v>
      </c>
      <c r="F10" s="3">
        <v>0</v>
      </c>
      <c r="G10" s="3">
        <v>0</v>
      </c>
      <c r="H10">
        <f t="shared" si="0"/>
        <v>12000</v>
      </c>
      <c r="I10" t="s">
        <v>5</v>
      </c>
      <c r="J10" s="3">
        <v>12000</v>
      </c>
    </row>
    <row r="11" spans="2:10" x14ac:dyDescent="0.3"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1</v>
      </c>
      <c r="H11">
        <f>SUMPRODUCT($B$3:$G$3,B11:G11)</f>
        <v>24000</v>
      </c>
      <c r="I11" t="s">
        <v>5</v>
      </c>
      <c r="J11" s="3">
        <v>24000</v>
      </c>
    </row>
    <row r="13" spans="2:10" x14ac:dyDescent="0.3">
      <c r="J13" s="4">
        <f>SUMPRODUCT(B3:G3,B4:G4)</f>
        <v>230000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99AB-6172-4BE6-8BEE-6D98668A91C0}">
  <dimension ref="B2:L16"/>
  <sheetViews>
    <sheetView workbookViewId="0">
      <selection activeCell="G19" sqref="G19"/>
    </sheetView>
  </sheetViews>
  <sheetFormatPr defaultRowHeight="14.4" x14ac:dyDescent="0.3"/>
  <sheetData>
    <row r="2" spans="2:12" x14ac:dyDescent="0.3">
      <c r="B2" t="s">
        <v>86</v>
      </c>
      <c r="C2" t="s">
        <v>87</v>
      </c>
      <c r="D2" t="s">
        <v>88</v>
      </c>
      <c r="E2" t="s">
        <v>89</v>
      </c>
      <c r="F2" t="s">
        <v>31</v>
      </c>
      <c r="G2" t="s">
        <v>32</v>
      </c>
      <c r="H2" t="s">
        <v>33</v>
      </c>
      <c r="I2" t="s">
        <v>41</v>
      </c>
    </row>
    <row r="3" spans="2:12" x14ac:dyDescent="0.3">
      <c r="B3" s="1">
        <v>30000</v>
      </c>
      <c r="C3" s="1">
        <v>20000</v>
      </c>
      <c r="D3" s="1">
        <v>20000</v>
      </c>
      <c r="E3" s="1">
        <v>4000</v>
      </c>
      <c r="F3" s="1">
        <v>20000</v>
      </c>
      <c r="G3" s="1">
        <v>22000</v>
      </c>
      <c r="H3" s="1">
        <v>26000</v>
      </c>
      <c r="I3" s="1">
        <v>0</v>
      </c>
    </row>
    <row r="4" spans="2:12" x14ac:dyDescent="0.3">
      <c r="B4" s="5">
        <v>0.03</v>
      </c>
      <c r="C4" s="5">
        <v>0.04</v>
      </c>
      <c r="D4" s="5">
        <v>0.06</v>
      </c>
      <c r="E4" s="5">
        <v>0.08</v>
      </c>
      <c r="F4" s="18">
        <v>5.0000000000000001E-3</v>
      </c>
      <c r="G4" s="18">
        <v>5.0000000000000001E-3</v>
      </c>
      <c r="H4" s="18">
        <v>5.0000000000000001E-3</v>
      </c>
      <c r="I4" s="18">
        <v>5.0000000000000001E-3</v>
      </c>
    </row>
    <row r="6" spans="2:12" x14ac:dyDescent="0.3">
      <c r="B6" s="3">
        <v>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>
        <f>SUMPRODUCT($B$3:$I$3,B6:I6)</f>
        <v>30000</v>
      </c>
      <c r="K6" t="s">
        <v>4</v>
      </c>
      <c r="L6" s="3">
        <v>30000</v>
      </c>
    </row>
    <row r="7" spans="2:12" x14ac:dyDescent="0.3">
      <c r="B7" s="3">
        <v>0</v>
      </c>
      <c r="C7" s="3">
        <v>1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>
        <f>SUMPRODUCT($B$3:$I$3,B7:I7)</f>
        <v>20000</v>
      </c>
      <c r="K7" t="s">
        <v>4</v>
      </c>
      <c r="L7" s="3">
        <v>20000</v>
      </c>
    </row>
    <row r="8" spans="2:12" x14ac:dyDescent="0.3"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>
        <f>SUMPRODUCT($B$3:$I$3,B8:I8)</f>
        <v>20000</v>
      </c>
      <c r="K8" t="s">
        <v>4</v>
      </c>
      <c r="L8" s="3">
        <v>20000</v>
      </c>
    </row>
    <row r="9" spans="2:12" x14ac:dyDescent="0.3">
      <c r="B9" s="3">
        <v>0</v>
      </c>
      <c r="C9" s="3">
        <v>0</v>
      </c>
      <c r="D9" s="3">
        <v>0</v>
      </c>
      <c r="E9" s="3">
        <v>1</v>
      </c>
      <c r="F9" s="3">
        <v>0</v>
      </c>
      <c r="G9" s="3">
        <v>0</v>
      </c>
      <c r="H9" s="3">
        <v>0</v>
      </c>
      <c r="I9" s="3">
        <v>0</v>
      </c>
      <c r="J9">
        <f t="shared" ref="J9" si="0">SUMPRODUCT($B$3:$I$3,B9:I9)</f>
        <v>4000</v>
      </c>
      <c r="K9" t="s">
        <v>4</v>
      </c>
      <c r="L9" s="3">
        <v>15000</v>
      </c>
    </row>
    <row r="10" spans="2:12" x14ac:dyDescent="0.3"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>
        <f>SUMPRODUCT($B$3:$I$3,B10:I10)-10000</f>
        <v>20000</v>
      </c>
      <c r="K10" t="s">
        <v>5</v>
      </c>
      <c r="L10" s="3">
        <f>F3</f>
        <v>20000</v>
      </c>
    </row>
    <row r="11" spans="2:12" x14ac:dyDescent="0.3">
      <c r="B11" s="3">
        <v>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>
        <f>SUMPRODUCT($B$3:$I$3,B11:I11)-18000</f>
        <v>22000</v>
      </c>
      <c r="K11" t="s">
        <v>5</v>
      </c>
      <c r="L11" s="3">
        <f>G3</f>
        <v>22000</v>
      </c>
    </row>
    <row r="12" spans="2:12" x14ac:dyDescent="0.3">
      <c r="B12" s="3">
        <v>0</v>
      </c>
      <c r="C12" s="3">
        <v>0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>
        <f>SUMPRODUCT($B$3:$I$3,B12:I12)-16000</f>
        <v>26000</v>
      </c>
      <c r="K12" t="s">
        <v>5</v>
      </c>
      <c r="L12" s="3">
        <f>H3</f>
        <v>26000</v>
      </c>
    </row>
    <row r="13" spans="2:12" x14ac:dyDescent="0.3">
      <c r="B13" s="3">
        <v>0</v>
      </c>
      <c r="C13" s="3">
        <v>0</v>
      </c>
      <c r="D13" s="3">
        <v>0</v>
      </c>
      <c r="E13" s="3">
        <v>1</v>
      </c>
      <c r="F13" s="3">
        <v>0</v>
      </c>
      <c r="G13" s="3">
        <v>0</v>
      </c>
      <c r="H13" s="3">
        <v>1</v>
      </c>
      <c r="I13" s="3">
        <v>0</v>
      </c>
      <c r="J13">
        <f>SUMPRODUCT($B$3:$I$3,B13:I13)-30000</f>
        <v>0</v>
      </c>
      <c r="K13" t="s">
        <v>5</v>
      </c>
      <c r="L13" s="3">
        <f>I3</f>
        <v>0</v>
      </c>
    </row>
    <row r="16" spans="2:12" x14ac:dyDescent="0.3">
      <c r="L16" s="4">
        <f>SUMPRODUCT(B3:I3,B4:I4)</f>
        <v>3560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F3BA-DDEB-4BC5-AE72-2783CAA2AAFE}">
  <dimension ref="B2:P21"/>
  <sheetViews>
    <sheetView workbookViewId="0">
      <selection activeCell="V12" sqref="V12"/>
    </sheetView>
  </sheetViews>
  <sheetFormatPr defaultRowHeight="14.4" x14ac:dyDescent="0.3"/>
  <cols>
    <col min="16" max="16" width="10.5546875" customWidth="1"/>
  </cols>
  <sheetData>
    <row r="2" spans="2:16" x14ac:dyDescent="0.3">
      <c r="B2" t="s">
        <v>51</v>
      </c>
      <c r="C2" t="s">
        <v>52</v>
      </c>
      <c r="D2" t="s">
        <v>53</v>
      </c>
      <c r="E2" t="s">
        <v>37</v>
      </c>
      <c r="F2" t="s">
        <v>38</v>
      </c>
      <c r="G2" t="s">
        <v>39</v>
      </c>
      <c r="H2" t="s">
        <v>54</v>
      </c>
      <c r="I2" t="s">
        <v>55</v>
      </c>
      <c r="J2" t="s">
        <v>56</v>
      </c>
      <c r="K2" t="s">
        <v>18</v>
      </c>
      <c r="L2" t="s">
        <v>20</v>
      </c>
      <c r="M2" t="s">
        <v>57</v>
      </c>
    </row>
    <row r="3" spans="2:16" x14ac:dyDescent="0.3">
      <c r="B3" s="19">
        <v>237.85714285714283</v>
      </c>
      <c r="C3" s="19">
        <v>428.57142857142861</v>
      </c>
      <c r="D3" s="19">
        <v>628.57142857142856</v>
      </c>
      <c r="E3" s="19">
        <v>541.42857142857144</v>
      </c>
      <c r="F3" s="19">
        <v>714.28571428571422</v>
      </c>
      <c r="G3" s="19">
        <v>414.28571428571428</v>
      </c>
      <c r="H3" s="19">
        <v>42.85714285714284</v>
      </c>
      <c r="I3" s="19">
        <v>121.42857142857142</v>
      </c>
      <c r="J3" s="19">
        <v>150</v>
      </c>
      <c r="K3" s="19">
        <v>146.42857142857144</v>
      </c>
      <c r="L3" s="19">
        <v>160.71428571428572</v>
      </c>
      <c r="M3" s="19">
        <v>54.999999999999964</v>
      </c>
    </row>
    <row r="4" spans="2:16" x14ac:dyDescent="0.3">
      <c r="B4" s="2">
        <v>12</v>
      </c>
      <c r="C4" s="2">
        <v>12</v>
      </c>
      <c r="D4" s="2">
        <v>12</v>
      </c>
      <c r="E4" s="2">
        <v>14</v>
      </c>
      <c r="F4" s="2">
        <v>14</v>
      </c>
      <c r="G4" s="2">
        <v>14</v>
      </c>
      <c r="H4" s="2">
        <v>1</v>
      </c>
      <c r="I4" s="2">
        <v>1</v>
      </c>
      <c r="J4" s="2">
        <v>1</v>
      </c>
      <c r="K4" s="2">
        <v>1.2</v>
      </c>
      <c r="L4" s="2">
        <v>1.2</v>
      </c>
      <c r="M4" s="2">
        <v>1.2</v>
      </c>
    </row>
    <row r="6" spans="2:16" x14ac:dyDescent="0.3">
      <c r="B6" s="2">
        <v>5</v>
      </c>
      <c r="C6" s="2">
        <v>0</v>
      </c>
      <c r="D6" s="2">
        <v>0</v>
      </c>
      <c r="E6" s="2">
        <v>4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>
        <f>SUMPRODUCT($B$3:$M$3,B6:M6)</f>
        <v>3355</v>
      </c>
      <c r="O6" t="s">
        <v>4</v>
      </c>
      <c r="P6" s="2">
        <v>3500</v>
      </c>
    </row>
    <row r="7" spans="2:16" x14ac:dyDescent="0.3">
      <c r="B7" s="2">
        <v>0</v>
      </c>
      <c r="C7" s="2">
        <v>5</v>
      </c>
      <c r="D7" s="2">
        <v>0</v>
      </c>
      <c r="E7" s="2">
        <v>0</v>
      </c>
      <c r="F7" s="2">
        <v>4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">
        <f>SUMPRODUCT($B$3:$M$3,B7:M7)</f>
        <v>5000</v>
      </c>
      <c r="O7" t="s">
        <v>4</v>
      </c>
      <c r="P7" s="2">
        <v>5000</v>
      </c>
    </row>
    <row r="8" spans="2:16" x14ac:dyDescent="0.3">
      <c r="B8" s="2">
        <v>0</v>
      </c>
      <c r="C8" s="2">
        <v>0</v>
      </c>
      <c r="D8" s="2">
        <v>5</v>
      </c>
      <c r="E8" s="2">
        <v>0</v>
      </c>
      <c r="F8" s="2">
        <v>0</v>
      </c>
      <c r="G8" s="2">
        <v>4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3">
        <f t="shared" ref="N8:N10" si="0">SUMPRODUCT($B$3:$M$3,B8:M8)</f>
        <v>4800</v>
      </c>
      <c r="O8" t="s">
        <v>4</v>
      </c>
      <c r="P8" s="2">
        <v>4800</v>
      </c>
    </row>
    <row r="9" spans="2:16" x14ac:dyDescent="0.3">
      <c r="B9" s="2">
        <v>2</v>
      </c>
      <c r="C9" s="2">
        <v>0</v>
      </c>
      <c r="D9" s="2">
        <v>0</v>
      </c>
      <c r="E9" s="2">
        <v>3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3">
        <f t="shared" si="0"/>
        <v>2100</v>
      </c>
      <c r="O9" t="s">
        <v>4</v>
      </c>
      <c r="P9" s="2">
        <v>2100</v>
      </c>
    </row>
    <row r="10" spans="2:16" x14ac:dyDescent="0.3">
      <c r="B10" s="2">
        <v>0</v>
      </c>
      <c r="C10" s="2">
        <v>2</v>
      </c>
      <c r="D10" s="2">
        <v>0</v>
      </c>
      <c r="E10" s="2">
        <v>0</v>
      </c>
      <c r="F10" s="2">
        <v>3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3">
        <f t="shared" si="0"/>
        <v>3000</v>
      </c>
      <c r="O10" t="s">
        <v>4</v>
      </c>
      <c r="P10" s="2">
        <v>3000</v>
      </c>
    </row>
    <row r="11" spans="2:16" x14ac:dyDescent="0.3">
      <c r="B11" s="2">
        <v>0</v>
      </c>
      <c r="C11" s="2">
        <v>0</v>
      </c>
      <c r="D11" s="2">
        <v>2</v>
      </c>
      <c r="E11" s="2">
        <v>0</v>
      </c>
      <c r="F11" s="2">
        <v>0</v>
      </c>
      <c r="G11" s="2">
        <v>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3">
        <f>SUMPRODUCT($B$3:$M$3,B11:M11)</f>
        <v>2500</v>
      </c>
      <c r="O11" t="s">
        <v>4</v>
      </c>
      <c r="P11" s="2">
        <v>2500</v>
      </c>
    </row>
    <row r="12" spans="2:16" x14ac:dyDescent="0.3">
      <c r="B12" s="2">
        <v>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3">
        <f>25+SUMPRODUCT($B$3:$M$3,B12:M12)-220</f>
        <v>42.857142857142833</v>
      </c>
      <c r="O12" t="s">
        <v>5</v>
      </c>
      <c r="P12" s="2">
        <f>H3</f>
        <v>42.85714285714284</v>
      </c>
    </row>
    <row r="13" spans="2:16" x14ac:dyDescent="0.3">
      <c r="B13" s="2">
        <v>0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3">
        <f>SUMPRODUCT($B$3:$M$3,B13:M13)-350</f>
        <v>121.42857142857144</v>
      </c>
      <c r="O13" t="s">
        <v>5</v>
      </c>
      <c r="P13" s="2">
        <f>I3</f>
        <v>121.42857142857142</v>
      </c>
    </row>
    <row r="14" spans="2:16" x14ac:dyDescent="0.3">
      <c r="B14" s="2">
        <v>0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3">
        <f>SUMPRODUCT($B$3:$M$3,B14:M14)-600</f>
        <v>150</v>
      </c>
      <c r="O14" t="s">
        <v>5</v>
      </c>
      <c r="P14" s="2">
        <f>J3</f>
        <v>150</v>
      </c>
    </row>
    <row r="15" spans="2:16" x14ac:dyDescent="0.3">
      <c r="B15" s="2">
        <v>0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3">
        <f>55+SUMPRODUCT($B$3:$M$3,B15:M15)-450</f>
        <v>146.42857142857144</v>
      </c>
      <c r="O15" t="s">
        <v>5</v>
      </c>
      <c r="P15" s="2">
        <f>K3</f>
        <v>146.42857142857144</v>
      </c>
    </row>
    <row r="16" spans="2:16" x14ac:dyDescent="0.3"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3">
        <f>SUMPRODUCT($B$3:$M$3,B16:M16)-700</f>
        <v>160.71428571428567</v>
      </c>
      <c r="O16" t="s">
        <v>5</v>
      </c>
      <c r="P16" s="2">
        <f>L3</f>
        <v>160.71428571428572</v>
      </c>
    </row>
    <row r="17" spans="2:16" x14ac:dyDescent="0.3"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0</v>
      </c>
      <c r="I17" s="2">
        <v>0</v>
      </c>
      <c r="J17" s="2">
        <v>0</v>
      </c>
      <c r="K17" s="2">
        <v>0</v>
      </c>
      <c r="L17" s="2">
        <v>1</v>
      </c>
      <c r="M17" s="2">
        <v>0</v>
      </c>
      <c r="N17" s="3">
        <f>SUMPRODUCT($B$3:$M$3,B17:M17)-520</f>
        <v>55</v>
      </c>
      <c r="O17" t="s">
        <v>5</v>
      </c>
      <c r="P17" s="2">
        <f>M3</f>
        <v>54.999999999999964</v>
      </c>
    </row>
    <row r="18" spans="2:16" x14ac:dyDescent="0.3"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0</v>
      </c>
      <c r="M18" s="2">
        <v>0</v>
      </c>
      <c r="N18" s="3">
        <f>SUMPRODUCT($B$3:$M$3,B18:M18)</f>
        <v>150</v>
      </c>
      <c r="O18" t="s">
        <v>5</v>
      </c>
      <c r="P18" s="2">
        <v>150</v>
      </c>
    </row>
    <row r="19" spans="2:16" x14ac:dyDescent="0.3"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3">
        <f>SUMPRODUCT($B$3:$M$3,B19:M19)</f>
        <v>54.999999999999964</v>
      </c>
      <c r="O19" t="s">
        <v>5</v>
      </c>
      <c r="P19" s="2">
        <v>60</v>
      </c>
    </row>
    <row r="21" spans="2:16" x14ac:dyDescent="0.3">
      <c r="P21" s="4">
        <f>SUMPRODUCT(B3:M3,B4:M4)</f>
        <v>39668.857142857145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6F2A-AFA4-41BA-91A6-895320C3C274}">
  <dimension ref="B2:P16"/>
  <sheetViews>
    <sheetView workbookViewId="0">
      <selection activeCell="O17" sqref="O17"/>
    </sheetView>
  </sheetViews>
  <sheetFormatPr defaultRowHeight="14.4" x14ac:dyDescent="0.3"/>
  <sheetData>
    <row r="2" spans="2:16" x14ac:dyDescent="0.3">
      <c r="B2" t="s">
        <v>58</v>
      </c>
      <c r="C2" t="s">
        <v>59</v>
      </c>
      <c r="D2" t="s">
        <v>60</v>
      </c>
      <c r="E2" t="s">
        <v>61</v>
      </c>
      <c r="F2" t="s">
        <v>37</v>
      </c>
      <c r="G2" t="s">
        <v>38</v>
      </c>
      <c r="H2" t="s">
        <v>39</v>
      </c>
      <c r="I2" t="s">
        <v>62</v>
      </c>
      <c r="J2" t="s">
        <v>31</v>
      </c>
      <c r="K2" t="s">
        <v>32</v>
      </c>
      <c r="L2" t="s">
        <v>33</v>
      </c>
      <c r="M2" t="s">
        <v>41</v>
      </c>
    </row>
    <row r="3" spans="2:16" x14ac:dyDescent="0.3">
      <c r="B3" s="1">
        <v>80000</v>
      </c>
      <c r="C3" s="1">
        <v>0</v>
      </c>
      <c r="D3" s="1">
        <v>0</v>
      </c>
      <c r="E3" s="1">
        <v>25000</v>
      </c>
      <c r="F3" s="1">
        <v>0</v>
      </c>
      <c r="G3" s="1">
        <v>0</v>
      </c>
      <c r="H3" s="1">
        <v>100000</v>
      </c>
      <c r="I3" s="1">
        <v>0</v>
      </c>
      <c r="J3" s="1">
        <v>100000</v>
      </c>
      <c r="K3" s="1">
        <v>100000</v>
      </c>
      <c r="L3" s="1">
        <v>0</v>
      </c>
      <c r="M3" s="1">
        <v>25000</v>
      </c>
    </row>
    <row r="4" spans="2:16" x14ac:dyDescent="0.3">
      <c r="B4" s="2">
        <v>6</v>
      </c>
      <c r="C4" s="2">
        <v>6.2</v>
      </c>
      <c r="D4" s="2">
        <v>6.65</v>
      </c>
      <c r="E4" s="2">
        <v>5.55</v>
      </c>
      <c r="F4" s="2">
        <v>6</v>
      </c>
      <c r="G4" s="2">
        <v>6.2</v>
      </c>
      <c r="H4" s="2">
        <v>6.65</v>
      </c>
      <c r="I4" s="2">
        <v>5.55</v>
      </c>
      <c r="J4" s="2">
        <v>0.15</v>
      </c>
      <c r="K4" s="2">
        <v>0.15</v>
      </c>
      <c r="L4" s="2">
        <v>0.15</v>
      </c>
      <c r="M4" s="2">
        <v>0.15</v>
      </c>
    </row>
    <row r="6" spans="2:16" x14ac:dyDescent="0.3">
      <c r="B6" s="2">
        <v>1</v>
      </c>
      <c r="C6" s="2">
        <v>0</v>
      </c>
      <c r="D6" s="2">
        <v>0</v>
      </c>
      <c r="E6" s="2">
        <v>0</v>
      </c>
      <c r="F6" s="2">
        <v>-1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>
        <f>20000+SUMPRODUCT($B$3:$M$3,B6:M6)</f>
        <v>100000</v>
      </c>
      <c r="O6" t="s">
        <v>5</v>
      </c>
      <c r="P6" s="2">
        <f>J3</f>
        <v>100000</v>
      </c>
    </row>
    <row r="7" spans="2:16" x14ac:dyDescent="0.3"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-1</v>
      </c>
      <c r="H7" s="2">
        <v>0</v>
      </c>
      <c r="I7" s="2">
        <v>0</v>
      </c>
      <c r="J7" s="2">
        <v>1</v>
      </c>
      <c r="K7" s="2">
        <v>0</v>
      </c>
      <c r="L7" s="2">
        <v>0</v>
      </c>
      <c r="M7" s="2">
        <v>0</v>
      </c>
      <c r="N7" s="3">
        <f t="shared" ref="N7:N13" si="0">SUMPRODUCT($B$3:$M$3,B7:M7)</f>
        <v>100000</v>
      </c>
      <c r="O7" t="s">
        <v>5</v>
      </c>
      <c r="P7" s="2">
        <f>K3</f>
        <v>100000</v>
      </c>
    </row>
    <row r="8" spans="2:16" x14ac:dyDescent="0.3">
      <c r="B8" s="2">
        <v>0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-1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3">
        <f t="shared" si="0"/>
        <v>0</v>
      </c>
      <c r="O8" t="s">
        <v>5</v>
      </c>
      <c r="P8" s="2">
        <f>L3</f>
        <v>0</v>
      </c>
    </row>
    <row r="9" spans="2:16" x14ac:dyDescent="0.3"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-1</v>
      </c>
      <c r="J9" s="2">
        <v>0</v>
      </c>
      <c r="K9" s="2">
        <v>0</v>
      </c>
      <c r="L9" s="2">
        <v>1</v>
      </c>
      <c r="M9" s="2">
        <v>0</v>
      </c>
      <c r="N9" s="3">
        <f>SUMPRODUCT($B$3:$M$3,B9:M9)</f>
        <v>25000</v>
      </c>
      <c r="O9" t="s">
        <v>5</v>
      </c>
      <c r="P9" s="2">
        <f>M3</f>
        <v>25000</v>
      </c>
    </row>
    <row r="10" spans="2:16" x14ac:dyDescent="0.3"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0</v>
      </c>
      <c r="N10" s="3">
        <f t="shared" si="0"/>
        <v>100000</v>
      </c>
      <c r="O10" t="s">
        <v>4</v>
      </c>
      <c r="P10" s="2">
        <v>100000</v>
      </c>
    </row>
    <row r="11" spans="2:16" x14ac:dyDescent="0.3"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3">
        <f t="shared" si="0"/>
        <v>100000</v>
      </c>
      <c r="O11" t="s">
        <v>4</v>
      </c>
      <c r="P11" s="2">
        <v>100000</v>
      </c>
    </row>
    <row r="12" spans="2:16" x14ac:dyDescent="0.3"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3">
        <f t="shared" si="0"/>
        <v>0</v>
      </c>
      <c r="O12" t="s">
        <v>4</v>
      </c>
      <c r="P12" s="2">
        <v>100000</v>
      </c>
    </row>
    <row r="13" spans="2:16" x14ac:dyDescent="0.3"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3">
        <f t="shared" si="0"/>
        <v>25000</v>
      </c>
      <c r="O13" t="s">
        <v>4</v>
      </c>
      <c r="P13" s="2">
        <v>100000</v>
      </c>
    </row>
    <row r="14" spans="2:16" x14ac:dyDescent="0.3"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3">
        <f>SUMPRODUCT($B$3:$M$3,B14:M14)</f>
        <v>25000</v>
      </c>
      <c r="O14" t="s">
        <v>5</v>
      </c>
      <c r="P14" s="2">
        <v>25000</v>
      </c>
    </row>
    <row r="16" spans="2:16" x14ac:dyDescent="0.3">
      <c r="O16" s="4">
        <f>SUMPRODUCT(F3:I3,F4:I4)-SUMPRODUCT(B3:E3,B4:E4)-SUMPRODUCT(J3:M3,J4:M4)</f>
        <v>12500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AA860-A013-465A-8457-9032A2C11DA8}">
  <dimension ref="B2:P17"/>
  <sheetViews>
    <sheetView workbookViewId="0">
      <selection activeCell="O19" sqref="O19"/>
    </sheetView>
  </sheetViews>
  <sheetFormatPr defaultRowHeight="14.4" x14ac:dyDescent="0.3"/>
  <sheetData>
    <row r="2" spans="2:16" x14ac:dyDescent="0.3"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</row>
    <row r="3" spans="2:16" x14ac:dyDescent="0.3">
      <c r="B3" s="1">
        <v>10250</v>
      </c>
      <c r="C3" s="1">
        <v>10250</v>
      </c>
      <c r="D3" s="1">
        <v>12000</v>
      </c>
      <c r="E3" s="1">
        <v>250</v>
      </c>
      <c r="F3" s="1">
        <v>0</v>
      </c>
      <c r="G3" s="1">
        <v>1750</v>
      </c>
      <c r="H3" s="1">
        <v>0</v>
      </c>
      <c r="I3" s="1">
        <v>0</v>
      </c>
      <c r="J3" s="1">
        <v>0</v>
      </c>
      <c r="K3" s="1">
        <v>750</v>
      </c>
      <c r="L3" s="1">
        <v>3000</v>
      </c>
      <c r="M3" s="1">
        <v>0</v>
      </c>
    </row>
    <row r="4" spans="2:16" x14ac:dyDescent="0.3">
      <c r="B4" s="2"/>
      <c r="C4" s="2"/>
      <c r="D4" s="2"/>
      <c r="E4" s="2">
        <v>1.25</v>
      </c>
      <c r="F4" s="2">
        <v>1.25</v>
      </c>
      <c r="G4" s="2">
        <v>1.25</v>
      </c>
      <c r="H4" s="2">
        <v>1</v>
      </c>
      <c r="I4" s="2">
        <v>1</v>
      </c>
      <c r="J4" s="2">
        <v>1</v>
      </c>
      <c r="K4" s="2"/>
      <c r="L4" s="2"/>
      <c r="M4" s="2"/>
    </row>
    <row r="6" spans="2:16" x14ac:dyDescent="0.3">
      <c r="B6" s="2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>
        <f>SUMPRODUCT($B$3:$M$3,B6:M6)-10000</f>
        <v>250</v>
      </c>
      <c r="O6" t="s">
        <v>5</v>
      </c>
      <c r="P6" s="2">
        <f>E3-H3</f>
        <v>250</v>
      </c>
    </row>
    <row r="7" spans="2:16" x14ac:dyDescent="0.3">
      <c r="B7" s="2">
        <v>-1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">
        <f>SUMPRODUCT($B$3:$M$3,B7:M7)</f>
        <v>0</v>
      </c>
      <c r="O7" t="s">
        <v>5</v>
      </c>
      <c r="P7" s="2">
        <f>F3-I3</f>
        <v>0</v>
      </c>
    </row>
    <row r="8" spans="2:16" x14ac:dyDescent="0.3">
      <c r="B8" s="2">
        <v>0</v>
      </c>
      <c r="C8" s="2">
        <v>-1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3">
        <f>SUMPRODUCT($B$3:$M$3,B8:M8)</f>
        <v>1750</v>
      </c>
      <c r="O8" t="s">
        <v>5</v>
      </c>
      <c r="P8" s="2">
        <f>G3-J3</f>
        <v>1750</v>
      </c>
    </row>
    <row r="9" spans="2:16" x14ac:dyDescent="0.3"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3">
        <f>SUMPRODUCT($B$3:$M$3,B9:M9)</f>
        <v>750</v>
      </c>
      <c r="O9" t="s">
        <v>4</v>
      </c>
      <c r="P9" s="2">
        <v>3000</v>
      </c>
    </row>
    <row r="10" spans="2:16" x14ac:dyDescent="0.3"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0</v>
      </c>
      <c r="N10" s="3">
        <f t="shared" ref="N10:N11" si="0">SUMPRODUCT($B$3:$M$3,B10:M10)</f>
        <v>3000</v>
      </c>
      <c r="O10" t="s">
        <v>4</v>
      </c>
      <c r="P10" s="2">
        <v>3000</v>
      </c>
    </row>
    <row r="11" spans="2:16" x14ac:dyDescent="0.3"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1</v>
      </c>
      <c r="N11" s="3">
        <f t="shared" si="0"/>
        <v>0</v>
      </c>
      <c r="O11" t="s">
        <v>4</v>
      </c>
      <c r="P11" s="2">
        <v>3000</v>
      </c>
    </row>
    <row r="12" spans="2:16" x14ac:dyDescent="0.3">
      <c r="B12" s="2">
        <v>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3">
        <f>2500+SUMPRODUCT($B$3:$M$3,B12:M12)-12000</f>
        <v>750</v>
      </c>
      <c r="O12" t="s">
        <v>5</v>
      </c>
      <c r="P12" s="2">
        <f>K3</f>
        <v>750</v>
      </c>
    </row>
    <row r="13" spans="2:16" x14ac:dyDescent="0.3">
      <c r="B13" s="2">
        <v>0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3">
        <f>SUMPRODUCT($B$3:$M$3,B13:M13)-8000</f>
        <v>3000</v>
      </c>
      <c r="O13" t="s">
        <v>5</v>
      </c>
      <c r="P13" s="2">
        <f>L3</f>
        <v>3000</v>
      </c>
    </row>
    <row r="14" spans="2:16" x14ac:dyDescent="0.3">
      <c r="B14" s="2">
        <v>0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0</v>
      </c>
      <c r="N14" s="3">
        <f>SUMPRODUCT($B$3:$M$3,B14:M14)-15000</f>
        <v>0</v>
      </c>
      <c r="O14" t="s">
        <v>5</v>
      </c>
      <c r="P14" s="2">
        <f>M3</f>
        <v>0</v>
      </c>
    </row>
    <row r="17" spans="16:16" x14ac:dyDescent="0.3">
      <c r="P17" s="4">
        <f>SUMPRODUCT(E3:J3,E4:J4)</f>
        <v>2500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F760-1B97-4E91-81E2-265FF53F516F}">
  <dimension ref="A1:J11"/>
  <sheetViews>
    <sheetView workbookViewId="0">
      <selection activeCell="G14" sqref="G14"/>
    </sheetView>
  </sheetViews>
  <sheetFormatPr defaultRowHeight="14.4" x14ac:dyDescent="0.3"/>
  <sheetData>
    <row r="1" spans="1:10" x14ac:dyDescent="0.3">
      <c r="B1" t="s">
        <v>0</v>
      </c>
      <c r="C1" t="s">
        <v>1</v>
      </c>
      <c r="D1" t="s">
        <v>2</v>
      </c>
      <c r="E1" t="s">
        <v>44</v>
      </c>
      <c r="F1" t="s">
        <v>45</v>
      </c>
      <c r="G1" t="s">
        <v>46</v>
      </c>
    </row>
    <row r="2" spans="1:10" x14ac:dyDescent="0.3">
      <c r="B2" s="1">
        <v>4</v>
      </c>
      <c r="C2" s="1">
        <v>0</v>
      </c>
      <c r="D2" s="1">
        <v>12</v>
      </c>
      <c r="E2" s="1">
        <v>0</v>
      </c>
      <c r="F2" s="1">
        <v>11</v>
      </c>
      <c r="G2" s="1">
        <v>4</v>
      </c>
    </row>
    <row r="4" spans="1:10" x14ac:dyDescent="0.3">
      <c r="A4" t="s">
        <v>28</v>
      </c>
      <c r="B4" s="2">
        <v>1</v>
      </c>
      <c r="C4" s="2">
        <v>0</v>
      </c>
      <c r="D4" s="2">
        <v>0</v>
      </c>
      <c r="E4" s="2">
        <v>0</v>
      </c>
      <c r="F4" s="2">
        <v>0</v>
      </c>
      <c r="G4" s="2">
        <v>1</v>
      </c>
      <c r="H4" s="3">
        <f>SUMPRODUCT($B$2:$G$2,B4:G4)</f>
        <v>8</v>
      </c>
      <c r="I4" t="s">
        <v>3</v>
      </c>
      <c r="J4" s="2">
        <v>8</v>
      </c>
    </row>
    <row r="5" spans="1:10" x14ac:dyDescent="0.3">
      <c r="A5" t="s">
        <v>29</v>
      </c>
      <c r="B5" s="2">
        <v>1</v>
      </c>
      <c r="C5" s="2">
        <v>1</v>
      </c>
      <c r="D5" s="2">
        <v>0</v>
      </c>
      <c r="E5" s="2">
        <v>0</v>
      </c>
      <c r="F5" s="2">
        <v>0</v>
      </c>
      <c r="G5" s="2">
        <v>0</v>
      </c>
      <c r="H5" s="3">
        <f t="shared" ref="H5:H9" si="0">SUMPRODUCT($B$2:$G$2,B5:G5)</f>
        <v>4</v>
      </c>
      <c r="I5" t="s">
        <v>3</v>
      </c>
      <c r="J5" s="2">
        <v>4</v>
      </c>
    </row>
    <row r="6" spans="1:10" x14ac:dyDescent="0.3">
      <c r="A6" t="s">
        <v>30</v>
      </c>
      <c r="B6" s="2">
        <v>0</v>
      </c>
      <c r="C6" s="2">
        <v>1</v>
      </c>
      <c r="D6" s="2">
        <v>1</v>
      </c>
      <c r="E6" s="2">
        <v>0</v>
      </c>
      <c r="F6" s="2">
        <v>0</v>
      </c>
      <c r="G6" s="2">
        <v>0</v>
      </c>
      <c r="H6" s="3">
        <f>SUMPRODUCT($B$2:$G$2,B6:G6)</f>
        <v>12</v>
      </c>
      <c r="I6" t="s">
        <v>3</v>
      </c>
      <c r="J6" s="2">
        <v>7</v>
      </c>
    </row>
    <row r="7" spans="1:10" x14ac:dyDescent="0.3">
      <c r="A7" t="s">
        <v>40</v>
      </c>
      <c r="B7" s="2">
        <v>0</v>
      </c>
      <c r="C7" s="2">
        <v>0</v>
      </c>
      <c r="D7" s="2">
        <v>1</v>
      </c>
      <c r="E7" s="2">
        <v>1</v>
      </c>
      <c r="F7" s="2">
        <v>0</v>
      </c>
      <c r="G7" s="2">
        <v>0</v>
      </c>
      <c r="H7" s="3">
        <f t="shared" si="0"/>
        <v>12</v>
      </c>
      <c r="I7" t="s">
        <v>3</v>
      </c>
      <c r="J7" s="2">
        <v>12</v>
      </c>
    </row>
    <row r="8" spans="1:10" x14ac:dyDescent="0.3">
      <c r="A8" t="s">
        <v>42</v>
      </c>
      <c r="B8" s="2">
        <v>0</v>
      </c>
      <c r="C8" s="2">
        <v>0</v>
      </c>
      <c r="D8" s="2">
        <v>0</v>
      </c>
      <c r="E8" s="2">
        <v>1</v>
      </c>
      <c r="F8" s="2">
        <v>1</v>
      </c>
      <c r="G8" s="2">
        <v>0</v>
      </c>
      <c r="H8" s="3">
        <f t="shared" si="0"/>
        <v>11</v>
      </c>
      <c r="I8" t="s">
        <v>3</v>
      </c>
      <c r="J8" s="2">
        <v>10</v>
      </c>
    </row>
    <row r="9" spans="1:10" x14ac:dyDescent="0.3">
      <c r="A9" t="s">
        <v>43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>
        <v>1</v>
      </c>
      <c r="H9" s="3">
        <f t="shared" si="0"/>
        <v>15</v>
      </c>
      <c r="I9" t="s">
        <v>3</v>
      </c>
      <c r="J9" s="2">
        <v>15</v>
      </c>
    </row>
    <row r="11" spans="1:10" x14ac:dyDescent="0.3">
      <c r="J11" s="4">
        <f>SUM(B2:G2)</f>
        <v>31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F084F-4262-4038-95DA-43938A42BC66}">
  <dimension ref="B2:AA23"/>
  <sheetViews>
    <sheetView workbookViewId="0">
      <selection activeCell="B6" sqref="B6"/>
    </sheetView>
  </sheetViews>
  <sheetFormatPr defaultRowHeight="14.4" x14ac:dyDescent="0.3"/>
  <sheetData>
    <row r="2" spans="2:27" x14ac:dyDescent="0.3">
      <c r="P2" s="20" t="s">
        <v>65</v>
      </c>
      <c r="Q2" s="21"/>
      <c r="R2" s="6"/>
      <c r="S2" s="6"/>
      <c r="T2" s="6"/>
      <c r="U2" s="6"/>
      <c r="V2" s="6"/>
      <c r="W2" s="6"/>
      <c r="X2" s="6"/>
      <c r="Y2" s="6"/>
      <c r="Z2" s="6"/>
      <c r="AA2" s="8"/>
    </row>
    <row r="3" spans="2:27" x14ac:dyDescent="0.3">
      <c r="B3" t="s">
        <v>48</v>
      </c>
      <c r="C3" t="s">
        <v>49</v>
      </c>
      <c r="D3" t="s">
        <v>50</v>
      </c>
      <c r="E3" t="s">
        <v>28</v>
      </c>
      <c r="F3" t="s">
        <v>29</v>
      </c>
      <c r="G3" t="s">
        <v>30</v>
      </c>
      <c r="H3" t="s">
        <v>40</v>
      </c>
      <c r="I3" t="s">
        <v>42</v>
      </c>
      <c r="J3" t="s">
        <v>43</v>
      </c>
      <c r="K3" t="s">
        <v>47</v>
      </c>
      <c r="P3" s="9" t="s">
        <v>63</v>
      </c>
      <c r="Q3" t="s">
        <v>64</v>
      </c>
      <c r="R3" s="20" t="s">
        <v>67</v>
      </c>
      <c r="S3" s="21"/>
      <c r="T3" s="22"/>
      <c r="U3" s="20" t="s">
        <v>66</v>
      </c>
      <c r="V3" s="21"/>
      <c r="W3" s="21"/>
      <c r="X3" s="21"/>
      <c r="Y3" s="21"/>
      <c r="Z3" s="21"/>
      <c r="AA3" s="22"/>
    </row>
    <row r="4" spans="2:27" x14ac:dyDescent="0.3">
      <c r="B4" s="1">
        <v>1</v>
      </c>
      <c r="C4" s="1">
        <v>1</v>
      </c>
      <c r="D4" s="1">
        <v>3</v>
      </c>
      <c r="E4" s="1">
        <v>5</v>
      </c>
      <c r="F4" s="1">
        <v>3</v>
      </c>
      <c r="G4" s="1">
        <v>2</v>
      </c>
      <c r="H4" s="1">
        <v>0</v>
      </c>
      <c r="I4" s="1">
        <v>0</v>
      </c>
      <c r="J4" s="1">
        <v>0</v>
      </c>
      <c r="K4" s="1">
        <v>3</v>
      </c>
      <c r="P4" s="9">
        <v>9</v>
      </c>
      <c r="Q4">
        <v>10</v>
      </c>
      <c r="R4" s="15"/>
      <c r="T4" s="10"/>
      <c r="U4" s="16"/>
      <c r="AA4" s="10"/>
    </row>
    <row r="5" spans="2:27" x14ac:dyDescent="0.3">
      <c r="B5" s="2">
        <f>15*7</f>
        <v>105</v>
      </c>
      <c r="C5" s="2">
        <f t="shared" ref="C5:D5" si="0">15*7</f>
        <v>105</v>
      </c>
      <c r="D5" s="2">
        <f t="shared" si="0"/>
        <v>105</v>
      </c>
      <c r="E5" s="2">
        <f>8*4</f>
        <v>32</v>
      </c>
      <c r="F5" s="2">
        <f t="shared" ref="F5:K5" si="1">8*4</f>
        <v>32</v>
      </c>
      <c r="G5" s="2">
        <f t="shared" si="1"/>
        <v>32</v>
      </c>
      <c r="H5" s="2">
        <f t="shared" si="1"/>
        <v>32</v>
      </c>
      <c r="I5" s="2">
        <f t="shared" si="1"/>
        <v>32</v>
      </c>
      <c r="J5" s="2">
        <f t="shared" si="1"/>
        <v>32</v>
      </c>
      <c r="K5" s="2">
        <f t="shared" si="1"/>
        <v>32</v>
      </c>
      <c r="P5" s="9">
        <v>10</v>
      </c>
      <c r="Q5">
        <v>11</v>
      </c>
      <c r="R5" s="15"/>
      <c r="S5" s="15"/>
      <c r="T5" s="10"/>
      <c r="U5" s="16"/>
      <c r="V5" s="7"/>
      <c r="AA5" s="10"/>
    </row>
    <row r="6" spans="2:27" x14ac:dyDescent="0.3">
      <c r="P6" s="9">
        <v>11</v>
      </c>
      <c r="Q6">
        <v>12</v>
      </c>
      <c r="R6" s="15"/>
      <c r="S6" s="15"/>
      <c r="T6" s="15"/>
      <c r="U6" s="16"/>
      <c r="V6" s="7"/>
      <c r="W6" s="7"/>
      <c r="AA6" s="10"/>
    </row>
    <row r="7" spans="2:27" x14ac:dyDescent="0.3">
      <c r="B7" s="2">
        <v>1</v>
      </c>
      <c r="C7" s="2">
        <v>0</v>
      </c>
      <c r="D7" s="2">
        <v>0</v>
      </c>
      <c r="E7" s="2">
        <v>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3">
        <f>SUMPRODUCT($B$4:$K$4,B7:K7)</f>
        <v>6</v>
      </c>
      <c r="M7" t="s">
        <v>3</v>
      </c>
      <c r="N7" s="2">
        <v>6</v>
      </c>
      <c r="P7" s="9">
        <v>12</v>
      </c>
      <c r="Q7">
        <v>1</v>
      </c>
      <c r="R7" s="15"/>
      <c r="S7" s="15"/>
      <c r="T7" s="15"/>
      <c r="U7" s="16"/>
      <c r="V7" s="7"/>
      <c r="W7" s="7"/>
      <c r="X7" s="7"/>
      <c r="AA7" s="10"/>
    </row>
    <row r="8" spans="2:27" x14ac:dyDescent="0.3">
      <c r="B8" s="2">
        <v>1</v>
      </c>
      <c r="C8" s="2">
        <v>1</v>
      </c>
      <c r="D8" s="2">
        <v>0</v>
      </c>
      <c r="E8" s="2">
        <v>1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3">
        <f t="shared" ref="L8:L16" si="2">SUMPRODUCT($B$4:$K$4,B8:K8)</f>
        <v>10</v>
      </c>
      <c r="M8" t="s">
        <v>3</v>
      </c>
      <c r="N8" s="2">
        <v>4</v>
      </c>
      <c r="P8" s="9">
        <v>1</v>
      </c>
      <c r="Q8">
        <v>2</v>
      </c>
      <c r="R8" s="9"/>
      <c r="S8" s="15"/>
      <c r="T8" s="15"/>
      <c r="U8" s="9"/>
      <c r="V8" s="7"/>
      <c r="W8" s="7"/>
      <c r="X8" s="7"/>
      <c r="Y8" s="7"/>
      <c r="AA8" s="10"/>
    </row>
    <row r="9" spans="2:27" x14ac:dyDescent="0.3"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3">
        <f t="shared" si="2"/>
        <v>15</v>
      </c>
      <c r="M9" t="s">
        <v>3</v>
      </c>
      <c r="N9" s="2">
        <v>8</v>
      </c>
      <c r="P9" s="9">
        <v>2</v>
      </c>
      <c r="Q9">
        <v>3</v>
      </c>
      <c r="R9" s="15"/>
      <c r="S9" s="9"/>
      <c r="T9" s="15"/>
      <c r="U9" s="9"/>
      <c r="W9" s="7"/>
      <c r="X9" s="7"/>
      <c r="Y9" s="7"/>
      <c r="Z9" s="7"/>
      <c r="AA9" s="10"/>
    </row>
    <row r="10" spans="2:27" x14ac:dyDescent="0.3"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3">
        <f t="shared" si="2"/>
        <v>15</v>
      </c>
      <c r="M10" t="s">
        <v>3</v>
      </c>
      <c r="N10" s="2">
        <v>10</v>
      </c>
      <c r="P10" s="9">
        <v>3</v>
      </c>
      <c r="Q10">
        <v>4</v>
      </c>
      <c r="R10" s="15"/>
      <c r="S10" s="15"/>
      <c r="T10" s="9"/>
      <c r="U10" s="9"/>
      <c r="X10" s="7"/>
      <c r="Y10" s="7"/>
      <c r="Z10" s="7"/>
      <c r="AA10" s="11"/>
    </row>
    <row r="11" spans="2:27" x14ac:dyDescent="0.3">
      <c r="B11" s="2">
        <v>0</v>
      </c>
      <c r="C11" s="2">
        <v>1</v>
      </c>
      <c r="D11" s="2">
        <v>1</v>
      </c>
      <c r="E11" s="2">
        <v>0</v>
      </c>
      <c r="F11" s="2">
        <v>1</v>
      </c>
      <c r="G11" s="2">
        <v>1</v>
      </c>
      <c r="H11" s="2">
        <v>1</v>
      </c>
      <c r="I11" s="2">
        <v>1</v>
      </c>
      <c r="J11" s="2">
        <v>0</v>
      </c>
      <c r="K11" s="2">
        <v>0</v>
      </c>
      <c r="L11" s="3">
        <f t="shared" si="2"/>
        <v>9</v>
      </c>
      <c r="M11" t="s">
        <v>3</v>
      </c>
      <c r="N11" s="2">
        <v>9</v>
      </c>
      <c r="P11" s="9">
        <v>4</v>
      </c>
      <c r="Q11">
        <v>5</v>
      </c>
      <c r="R11" s="15"/>
      <c r="S11" s="15"/>
      <c r="T11" s="15"/>
      <c r="U11" s="9"/>
      <c r="Y11" s="7"/>
      <c r="Z11" s="7"/>
      <c r="AA11" s="11"/>
    </row>
    <row r="12" spans="2:27" x14ac:dyDescent="0.3">
      <c r="B12" s="2">
        <v>1</v>
      </c>
      <c r="C12" s="2">
        <v>0</v>
      </c>
      <c r="D12" s="2">
        <v>1</v>
      </c>
      <c r="E12" s="2">
        <v>0</v>
      </c>
      <c r="F12" s="2">
        <v>0</v>
      </c>
      <c r="G12" s="2">
        <v>1</v>
      </c>
      <c r="H12" s="2">
        <v>1</v>
      </c>
      <c r="I12" s="2">
        <v>1</v>
      </c>
      <c r="J12" s="2">
        <v>1</v>
      </c>
      <c r="K12" s="2">
        <v>0</v>
      </c>
      <c r="L12" s="3">
        <f t="shared" si="2"/>
        <v>6</v>
      </c>
      <c r="M12" t="s">
        <v>3</v>
      </c>
      <c r="N12" s="2">
        <v>6</v>
      </c>
      <c r="P12" s="9">
        <v>5</v>
      </c>
      <c r="Q12">
        <v>6</v>
      </c>
      <c r="R12" s="9"/>
      <c r="S12" s="15"/>
      <c r="T12" s="15"/>
      <c r="U12" s="9"/>
      <c r="Z12" s="7"/>
      <c r="AA12" s="11"/>
    </row>
    <row r="13" spans="2:27" x14ac:dyDescent="0.3">
      <c r="B13" s="2">
        <v>1</v>
      </c>
      <c r="C13" s="2">
        <v>1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1</v>
      </c>
      <c r="K13" s="2">
        <v>1</v>
      </c>
      <c r="L13" s="3">
        <f t="shared" si="2"/>
        <v>5</v>
      </c>
      <c r="M13" t="s">
        <v>3</v>
      </c>
      <c r="N13" s="2">
        <v>4</v>
      </c>
      <c r="P13" s="12">
        <v>6</v>
      </c>
      <c r="Q13" s="13">
        <v>7</v>
      </c>
      <c r="R13" s="12"/>
      <c r="S13" s="13"/>
      <c r="T13" s="15"/>
      <c r="U13" s="12"/>
      <c r="V13" s="13"/>
      <c r="W13" s="13"/>
      <c r="X13" s="13"/>
      <c r="Y13" s="13"/>
      <c r="Z13" s="13"/>
      <c r="AA13" s="14"/>
    </row>
    <row r="14" spans="2:27" x14ac:dyDescent="0.3">
      <c r="B14" s="2">
        <v>1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1</v>
      </c>
      <c r="K14" s="2">
        <v>1</v>
      </c>
      <c r="L14" s="3">
        <f t="shared" si="2"/>
        <v>8</v>
      </c>
      <c r="M14" t="s">
        <v>3</v>
      </c>
      <c r="N14" s="2">
        <v>7</v>
      </c>
    </row>
    <row r="15" spans="2:27" x14ac:dyDescent="0.3">
      <c r="B15" s="2">
        <v>0</v>
      </c>
      <c r="C15" s="2">
        <v>1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</v>
      </c>
      <c r="L15" s="3">
        <f t="shared" si="2"/>
        <v>7</v>
      </c>
      <c r="M15" t="s">
        <v>3</v>
      </c>
      <c r="N15" s="2">
        <v>6</v>
      </c>
    </row>
    <row r="16" spans="2:27" x14ac:dyDescent="0.3"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3">
        <f t="shared" si="2"/>
        <v>6</v>
      </c>
      <c r="M16" t="s">
        <v>3</v>
      </c>
      <c r="N16" s="2">
        <v>6</v>
      </c>
    </row>
    <row r="17" spans="2:14" x14ac:dyDescent="0.3">
      <c r="B17" s="2">
        <v>1</v>
      </c>
      <c r="C17" s="2">
        <v>1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3">
        <f>SUMPRODUCT($B$4:$K$4,B17:K17)</f>
        <v>5</v>
      </c>
      <c r="M17" t="s">
        <v>3</v>
      </c>
      <c r="N17" s="2">
        <v>5</v>
      </c>
    </row>
    <row r="18" spans="2:14" x14ac:dyDescent="0.3">
      <c r="B18" s="2">
        <v>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3">
        <f>SUMPRODUCT($B$4:$K$4,B18:K18)</f>
        <v>1</v>
      </c>
      <c r="M18" t="s">
        <v>3</v>
      </c>
      <c r="N18" s="2">
        <v>1</v>
      </c>
    </row>
    <row r="19" spans="2:14" x14ac:dyDescent="0.3">
      <c r="B19" s="2">
        <v>0</v>
      </c>
      <c r="C19" s="2">
        <v>1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3">
        <f t="shared" ref="L19:L20" si="3">SUMPRODUCT($B$4:$K$4,B19:K19)</f>
        <v>1</v>
      </c>
      <c r="M19" t="s">
        <v>3</v>
      </c>
      <c r="N19" s="2">
        <v>1</v>
      </c>
    </row>
    <row r="20" spans="2:14" x14ac:dyDescent="0.3">
      <c r="B20" s="2">
        <v>0</v>
      </c>
      <c r="C20" s="2">
        <v>0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3">
        <f t="shared" si="3"/>
        <v>3</v>
      </c>
      <c r="M20" t="s">
        <v>3</v>
      </c>
      <c r="N20" s="2">
        <v>1</v>
      </c>
    </row>
    <row r="23" spans="2:14" x14ac:dyDescent="0.3">
      <c r="N23" s="4">
        <f>SUMPRODUCT(B4:K4,B5:K5)</f>
        <v>941</v>
      </c>
    </row>
  </sheetData>
  <mergeCells count="3">
    <mergeCell ref="P2:Q2"/>
    <mergeCell ref="R3:T3"/>
    <mergeCell ref="U3:AA3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8468-9C28-412A-B879-70991B99E11A}">
  <dimension ref="A2:I17"/>
  <sheetViews>
    <sheetView workbookViewId="0">
      <selection activeCell="G19" sqref="G19"/>
    </sheetView>
  </sheetViews>
  <sheetFormatPr defaultRowHeight="14.4" x14ac:dyDescent="0.3"/>
  <sheetData>
    <row r="2" spans="1:9" x14ac:dyDescent="0.3">
      <c r="B2" t="s">
        <v>37</v>
      </c>
      <c r="C2" t="s">
        <v>38</v>
      </c>
      <c r="D2" t="s">
        <v>39</v>
      </c>
      <c r="E2" t="s">
        <v>62</v>
      </c>
      <c r="F2" t="s">
        <v>68</v>
      </c>
    </row>
    <row r="3" spans="1:9" x14ac:dyDescent="0.3">
      <c r="B3" s="1">
        <v>48</v>
      </c>
      <c r="C3" s="1">
        <v>31</v>
      </c>
      <c r="D3" s="1">
        <v>39</v>
      </c>
      <c r="E3" s="1">
        <v>43</v>
      </c>
      <c r="F3" s="1">
        <v>15</v>
      </c>
    </row>
    <row r="4" spans="1:9" x14ac:dyDescent="0.3">
      <c r="B4" s="2">
        <v>170</v>
      </c>
      <c r="C4" s="2">
        <v>160</v>
      </c>
      <c r="D4" s="2">
        <v>175</v>
      </c>
      <c r="E4" s="2">
        <v>180</v>
      </c>
      <c r="F4" s="2">
        <v>190</v>
      </c>
    </row>
    <row r="6" spans="1:9" x14ac:dyDescent="0.3">
      <c r="A6">
        <v>6</v>
      </c>
      <c r="B6" s="2">
        <v>1</v>
      </c>
      <c r="C6" s="2">
        <v>0</v>
      </c>
      <c r="D6" s="2">
        <v>0</v>
      </c>
      <c r="E6" s="2">
        <v>0</v>
      </c>
      <c r="F6" s="2">
        <v>0</v>
      </c>
      <c r="G6" s="17">
        <f>SUMPRODUCT($B$3:$F$3,B6:F6)</f>
        <v>48</v>
      </c>
      <c r="H6" t="s">
        <v>3</v>
      </c>
      <c r="I6" s="2">
        <v>48</v>
      </c>
    </row>
    <row r="7" spans="1:9" x14ac:dyDescent="0.3">
      <c r="A7">
        <v>8</v>
      </c>
      <c r="B7" s="2">
        <v>1</v>
      </c>
      <c r="C7" s="2">
        <v>1</v>
      </c>
      <c r="D7" s="2">
        <v>0</v>
      </c>
      <c r="E7" s="2">
        <v>0</v>
      </c>
      <c r="F7" s="2">
        <v>0</v>
      </c>
      <c r="G7" s="17">
        <f t="shared" ref="G7:G14" si="0">SUMPRODUCT($B$3:$F$3,B7:F7)</f>
        <v>79</v>
      </c>
      <c r="H7" t="s">
        <v>3</v>
      </c>
      <c r="I7" s="2">
        <v>79</v>
      </c>
    </row>
    <row r="8" spans="1:9" x14ac:dyDescent="0.3">
      <c r="A8">
        <v>10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17">
        <f t="shared" si="0"/>
        <v>79</v>
      </c>
      <c r="H8" t="s">
        <v>3</v>
      </c>
      <c r="I8" s="2">
        <v>65</v>
      </c>
    </row>
    <row r="9" spans="1:9" x14ac:dyDescent="0.3">
      <c r="A9">
        <v>12</v>
      </c>
      <c r="B9" s="2">
        <v>1</v>
      </c>
      <c r="C9" s="2">
        <v>1</v>
      </c>
      <c r="D9" s="2">
        <v>1</v>
      </c>
      <c r="E9" s="2">
        <v>0</v>
      </c>
      <c r="F9" s="2">
        <v>0</v>
      </c>
      <c r="G9" s="17">
        <f t="shared" si="0"/>
        <v>118</v>
      </c>
      <c r="H9" t="s">
        <v>3</v>
      </c>
      <c r="I9" s="2">
        <v>87</v>
      </c>
    </row>
    <row r="10" spans="1:9" x14ac:dyDescent="0.3">
      <c r="A10">
        <v>14</v>
      </c>
      <c r="B10" s="2">
        <v>0</v>
      </c>
      <c r="C10" s="2">
        <v>1</v>
      </c>
      <c r="D10" s="2">
        <v>1</v>
      </c>
      <c r="E10" s="2">
        <v>0</v>
      </c>
      <c r="F10" s="2">
        <v>0</v>
      </c>
      <c r="G10" s="17">
        <f t="shared" si="0"/>
        <v>70</v>
      </c>
      <c r="H10" t="s">
        <v>3</v>
      </c>
      <c r="I10" s="2">
        <v>64</v>
      </c>
    </row>
    <row r="11" spans="1:9" x14ac:dyDescent="0.3">
      <c r="A11">
        <v>16</v>
      </c>
      <c r="B11" s="2">
        <v>0</v>
      </c>
      <c r="C11" s="2">
        <v>0</v>
      </c>
      <c r="D11" s="2">
        <v>1</v>
      </c>
      <c r="E11" s="2">
        <v>1</v>
      </c>
      <c r="F11" s="2">
        <v>0</v>
      </c>
      <c r="G11" s="17">
        <f t="shared" si="0"/>
        <v>82</v>
      </c>
      <c r="H11" t="s">
        <v>3</v>
      </c>
      <c r="I11" s="2">
        <v>73</v>
      </c>
    </row>
    <row r="12" spans="1:9" x14ac:dyDescent="0.3">
      <c r="A12">
        <v>18</v>
      </c>
      <c r="B12" s="2">
        <v>0</v>
      </c>
      <c r="C12" s="2">
        <v>0</v>
      </c>
      <c r="D12" s="2">
        <v>1</v>
      </c>
      <c r="E12" s="2">
        <v>1</v>
      </c>
      <c r="F12" s="2">
        <v>0</v>
      </c>
      <c r="G12" s="17">
        <f t="shared" si="0"/>
        <v>82</v>
      </c>
      <c r="H12" t="s">
        <v>3</v>
      </c>
      <c r="I12" s="2">
        <v>82</v>
      </c>
    </row>
    <row r="13" spans="1:9" x14ac:dyDescent="0.3">
      <c r="A13">
        <v>20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17">
        <f t="shared" si="0"/>
        <v>43</v>
      </c>
      <c r="H13" t="s">
        <v>3</v>
      </c>
      <c r="I13" s="2">
        <v>43</v>
      </c>
    </row>
    <row r="14" spans="1:9" x14ac:dyDescent="0.3">
      <c r="A14">
        <v>22</v>
      </c>
      <c r="B14" s="2">
        <v>0</v>
      </c>
      <c r="C14" s="2">
        <v>0</v>
      </c>
      <c r="D14" s="2">
        <v>0</v>
      </c>
      <c r="E14" s="2">
        <v>1</v>
      </c>
      <c r="F14" s="2">
        <v>1</v>
      </c>
      <c r="G14" s="17">
        <f t="shared" si="0"/>
        <v>58</v>
      </c>
      <c r="H14" t="s">
        <v>3</v>
      </c>
      <c r="I14" s="2">
        <v>52</v>
      </c>
    </row>
    <row r="15" spans="1:9" x14ac:dyDescent="0.3">
      <c r="A15">
        <v>0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17">
        <f>SUMPRODUCT($B$3:$F$3,B15:F15)</f>
        <v>15</v>
      </c>
      <c r="H15" t="s">
        <v>3</v>
      </c>
      <c r="I15" s="2">
        <v>15</v>
      </c>
    </row>
    <row r="17" spans="9:9" x14ac:dyDescent="0.3">
      <c r="I17" s="4">
        <f>SUMPRODUCT(B3:F3,B4:F4)</f>
        <v>30535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4E9E-B7C1-4BAF-AC75-3E5729B28581}">
  <dimension ref="B3:L14"/>
  <sheetViews>
    <sheetView workbookViewId="0">
      <selection activeCell="J11" sqref="J11"/>
    </sheetView>
  </sheetViews>
  <sheetFormatPr defaultRowHeight="14.4" x14ac:dyDescent="0.3"/>
  <sheetData>
    <row r="3" spans="2:12" x14ac:dyDescent="0.3"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76</v>
      </c>
    </row>
    <row r="4" spans="2:12" x14ac:dyDescent="0.3">
      <c r="B4" s="1">
        <v>0</v>
      </c>
      <c r="C4" s="1">
        <v>0</v>
      </c>
      <c r="D4" s="1">
        <v>10000</v>
      </c>
      <c r="E4" s="1">
        <v>28000</v>
      </c>
      <c r="F4" s="1">
        <v>0</v>
      </c>
      <c r="G4" s="1">
        <v>0</v>
      </c>
      <c r="H4" s="1">
        <v>0</v>
      </c>
      <c r="I4" s="1">
        <v>18000</v>
      </c>
    </row>
    <row r="5" spans="2:12" x14ac:dyDescent="0.3">
      <c r="B5" s="2">
        <v>80</v>
      </c>
      <c r="C5" s="2">
        <v>65</v>
      </c>
    </row>
    <row r="7" spans="2:12" x14ac:dyDescent="0.3">
      <c r="B7" s="2">
        <v>15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17">
        <f>SUMPRODUCT($B$4:$C$4,B7:C7)</f>
        <v>0</v>
      </c>
      <c r="K7" t="s">
        <v>4</v>
      </c>
      <c r="L7" s="2">
        <f>D4</f>
        <v>10000</v>
      </c>
    </row>
    <row r="8" spans="2:12" x14ac:dyDescent="0.3">
      <c r="B8" s="2">
        <v>4</v>
      </c>
      <c r="C8" s="2">
        <v>10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17">
        <f>SUMPRODUCT($B$4:$C$4,B8:C8)</f>
        <v>0</v>
      </c>
      <c r="K8" t="s">
        <v>4</v>
      </c>
      <c r="L8" s="2">
        <f>E4</f>
        <v>28000</v>
      </c>
    </row>
    <row r="9" spans="2:12" x14ac:dyDescent="0.3">
      <c r="B9" s="2">
        <v>4</v>
      </c>
      <c r="C9" s="2">
        <v>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17">
        <f>SUMPRODUCT($B$4:$C$4,B9:C9)</f>
        <v>0</v>
      </c>
      <c r="K9" t="s">
        <v>4</v>
      </c>
      <c r="L9" s="2">
        <f>F4</f>
        <v>0</v>
      </c>
    </row>
    <row r="10" spans="2:12" x14ac:dyDescent="0.3"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-1</v>
      </c>
      <c r="H10" s="2">
        <v>-1</v>
      </c>
      <c r="I10" s="2">
        <v>0</v>
      </c>
      <c r="J10" s="17">
        <f>SUMPRODUCT($D$4:$I$4,D10:I10)</f>
        <v>10000</v>
      </c>
      <c r="K10" t="s">
        <v>5</v>
      </c>
      <c r="L10" s="2">
        <v>10000</v>
      </c>
    </row>
    <row r="11" spans="2:12" x14ac:dyDescent="0.3">
      <c r="B11" s="2">
        <v>0</v>
      </c>
      <c r="C11" s="2">
        <v>0</v>
      </c>
      <c r="D11" s="2">
        <v>0</v>
      </c>
      <c r="E11" s="2">
        <v>1</v>
      </c>
      <c r="F11" s="2">
        <v>0</v>
      </c>
      <c r="G11" s="2">
        <v>1</v>
      </c>
      <c r="H11" s="2">
        <v>0</v>
      </c>
      <c r="I11" s="2">
        <v>-1</v>
      </c>
      <c r="J11" s="17">
        <f>SUMPRODUCT($D$4:$I$4,D11:I11)</f>
        <v>10000</v>
      </c>
      <c r="K11" t="s">
        <v>5</v>
      </c>
      <c r="L11" s="2">
        <v>10000</v>
      </c>
    </row>
    <row r="12" spans="2:12" x14ac:dyDescent="0.3"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1</v>
      </c>
      <c r="I12" s="2">
        <v>1</v>
      </c>
      <c r="J12" s="17">
        <f>SUMPRODUCT($D$4:$I$4,D12:I12)</f>
        <v>18000</v>
      </c>
      <c r="K12" t="s">
        <v>5</v>
      </c>
      <c r="L12" s="2">
        <v>18000</v>
      </c>
    </row>
    <row r="14" spans="2:12" x14ac:dyDescent="0.3">
      <c r="L14" s="4">
        <f>SUMPRODUCT(B4:C4,B5:C5)</f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5AD9-A01E-4864-9008-B9B4EF4A3E89}">
  <dimension ref="A2:P16"/>
  <sheetViews>
    <sheetView workbookViewId="0">
      <selection activeCell="J21" sqref="J21"/>
    </sheetView>
  </sheetViews>
  <sheetFormatPr defaultRowHeight="14.4" x14ac:dyDescent="0.3"/>
  <sheetData>
    <row r="2" spans="1:16" x14ac:dyDescent="0.3">
      <c r="B2" t="s">
        <v>77</v>
      </c>
      <c r="C2" t="s">
        <v>58</v>
      </c>
      <c r="D2" t="s">
        <v>59</v>
      </c>
      <c r="E2" t="s">
        <v>60</v>
      </c>
      <c r="F2" t="s">
        <v>37</v>
      </c>
      <c r="G2" t="s">
        <v>38</v>
      </c>
      <c r="H2" t="s">
        <v>39</v>
      </c>
      <c r="I2" t="s">
        <v>62</v>
      </c>
      <c r="J2" t="s">
        <v>68</v>
      </c>
      <c r="K2" t="s">
        <v>78</v>
      </c>
      <c r="L2" t="s">
        <v>79</v>
      </c>
      <c r="M2" t="s">
        <v>80</v>
      </c>
    </row>
    <row r="3" spans="1:16" x14ac:dyDescent="0.3">
      <c r="B3" s="1">
        <v>1729668.9843804382</v>
      </c>
      <c r="C3" s="1">
        <v>145</v>
      </c>
      <c r="D3" s="1">
        <v>188</v>
      </c>
      <c r="E3" s="1">
        <v>229</v>
      </c>
      <c r="F3" s="1">
        <v>635768.98438043904</v>
      </c>
      <c r="G3" s="1">
        <v>501315.99375566974</v>
      </c>
      <c r="H3" s="1">
        <v>349484.88350590674</v>
      </c>
      <c r="I3" s="1">
        <v>182580.52884615026</v>
      </c>
      <c r="J3" s="1">
        <v>0</v>
      </c>
      <c r="K3" s="1">
        <v>116.25000000005237</v>
      </c>
      <c r="L3" s="1">
        <v>368.40000000002777</v>
      </c>
      <c r="M3" s="1">
        <v>1290.6359999991032</v>
      </c>
    </row>
    <row r="4" spans="1:16" x14ac:dyDescent="0.3">
      <c r="C4" s="2">
        <v>1150</v>
      </c>
      <c r="D4" s="2">
        <v>1000</v>
      </c>
      <c r="E4" s="2">
        <v>1350</v>
      </c>
    </row>
    <row r="5" spans="1:16" x14ac:dyDescent="0.3">
      <c r="A5" t="s">
        <v>85</v>
      </c>
    </row>
    <row r="6" spans="1:16" x14ac:dyDescent="0.3">
      <c r="A6">
        <v>1</v>
      </c>
      <c r="B6" s="2">
        <v>1</v>
      </c>
      <c r="C6" s="2">
        <v>-1150</v>
      </c>
      <c r="D6" s="2">
        <v>-1000</v>
      </c>
      <c r="E6" s="2">
        <v>-1350</v>
      </c>
      <c r="F6" s="2">
        <v>-1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3">
        <f>SUMPRODUCT($B$3:$M$3,B6:M6)</f>
        <v>429999.99999999919</v>
      </c>
      <c r="O6" t="s">
        <v>5</v>
      </c>
      <c r="P6" s="2">
        <v>430000</v>
      </c>
    </row>
    <row r="7" spans="1:16" x14ac:dyDescent="0.3">
      <c r="A7">
        <v>2</v>
      </c>
      <c r="B7" s="2">
        <v>0</v>
      </c>
      <c r="C7" s="2">
        <v>88.75</v>
      </c>
      <c r="D7" s="2">
        <v>55</v>
      </c>
      <c r="E7" s="2">
        <v>117.5</v>
      </c>
      <c r="F7" s="2">
        <v>1.04</v>
      </c>
      <c r="G7" s="2">
        <v>-1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3">
        <f t="shared" ref="N7:N13" si="0">SUMPRODUCT($B$3:$M$3,B7:M7)</f>
        <v>209999.9999999869</v>
      </c>
      <c r="O7" t="s">
        <v>5</v>
      </c>
      <c r="P7" s="2">
        <v>210000</v>
      </c>
    </row>
    <row r="8" spans="1:16" x14ac:dyDescent="0.3">
      <c r="A8">
        <v>3</v>
      </c>
      <c r="B8" s="2">
        <v>0</v>
      </c>
      <c r="C8" s="2">
        <v>88.75</v>
      </c>
      <c r="D8" s="2">
        <v>55</v>
      </c>
      <c r="E8" s="2">
        <v>117.5</v>
      </c>
      <c r="F8" s="2">
        <v>0</v>
      </c>
      <c r="G8" s="2">
        <v>1.04</v>
      </c>
      <c r="H8" s="2">
        <v>-1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3">
        <f t="shared" si="0"/>
        <v>221999.99999998981</v>
      </c>
      <c r="O8" t="s">
        <v>5</v>
      </c>
      <c r="P8" s="2">
        <v>222000</v>
      </c>
    </row>
    <row r="9" spans="1:16" x14ac:dyDescent="0.3">
      <c r="A9">
        <v>4</v>
      </c>
      <c r="B9" s="2">
        <v>0</v>
      </c>
      <c r="C9" s="2">
        <v>88.75</v>
      </c>
      <c r="D9" s="2">
        <v>55</v>
      </c>
      <c r="E9" s="2">
        <v>117.5</v>
      </c>
      <c r="F9" s="2">
        <v>0</v>
      </c>
      <c r="G9" s="2">
        <v>0</v>
      </c>
      <c r="H9" s="2">
        <v>1.04</v>
      </c>
      <c r="I9" s="2">
        <v>-1</v>
      </c>
      <c r="J9" s="2">
        <v>0</v>
      </c>
      <c r="K9" s="2">
        <v>0</v>
      </c>
      <c r="L9" s="2">
        <v>0</v>
      </c>
      <c r="M9" s="2">
        <v>0</v>
      </c>
      <c r="N9" s="3">
        <f t="shared" si="0"/>
        <v>230999.99999999272</v>
      </c>
      <c r="O9" t="s">
        <v>5</v>
      </c>
      <c r="P9" s="2">
        <v>231000</v>
      </c>
    </row>
    <row r="10" spans="1:16" x14ac:dyDescent="0.3">
      <c r="A10">
        <v>5</v>
      </c>
      <c r="B10" s="2">
        <v>0</v>
      </c>
      <c r="C10" s="2">
        <v>88.75</v>
      </c>
      <c r="D10" s="2">
        <v>55</v>
      </c>
      <c r="E10" s="2">
        <v>117.5</v>
      </c>
      <c r="F10" s="2">
        <v>0</v>
      </c>
      <c r="G10" s="2">
        <v>0</v>
      </c>
      <c r="H10" s="2">
        <v>0</v>
      </c>
      <c r="I10" s="2">
        <v>1.04</v>
      </c>
      <c r="J10" s="2">
        <v>-1</v>
      </c>
      <c r="K10" s="2">
        <v>0</v>
      </c>
      <c r="L10" s="2">
        <v>0</v>
      </c>
      <c r="M10" s="2">
        <v>0</v>
      </c>
      <c r="N10" s="3">
        <f t="shared" si="0"/>
        <v>239999.99999999627</v>
      </c>
      <c r="O10" t="s">
        <v>5</v>
      </c>
      <c r="P10" s="2">
        <v>240000</v>
      </c>
    </row>
    <row r="11" spans="1:16" x14ac:dyDescent="0.3">
      <c r="A11">
        <v>6</v>
      </c>
      <c r="B11" s="2">
        <v>0</v>
      </c>
      <c r="C11" s="2">
        <v>1088.75</v>
      </c>
      <c r="D11" s="2">
        <v>55</v>
      </c>
      <c r="E11" s="2">
        <v>117.5</v>
      </c>
      <c r="F11" s="2">
        <v>0</v>
      </c>
      <c r="G11" s="2">
        <v>0</v>
      </c>
      <c r="H11" s="2">
        <v>0</v>
      </c>
      <c r="I11" s="2">
        <v>0</v>
      </c>
      <c r="J11" s="2">
        <v>1.04</v>
      </c>
      <c r="K11" s="2">
        <v>-1</v>
      </c>
      <c r="L11" s="2">
        <v>0</v>
      </c>
      <c r="M11" s="2">
        <v>0</v>
      </c>
      <c r="N11" s="3">
        <f t="shared" si="0"/>
        <v>194999.99999999994</v>
      </c>
      <c r="O11" t="s">
        <v>5</v>
      </c>
      <c r="P11" s="2">
        <v>195000</v>
      </c>
    </row>
    <row r="12" spans="1:16" x14ac:dyDescent="0.3">
      <c r="A12">
        <v>7</v>
      </c>
      <c r="B12" s="2">
        <v>0</v>
      </c>
      <c r="C12" s="2">
        <v>0</v>
      </c>
      <c r="D12" s="2">
        <v>1055</v>
      </c>
      <c r="E12" s="2">
        <v>117.5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1.04</v>
      </c>
      <c r="L12" s="2">
        <v>-1</v>
      </c>
      <c r="M12" s="2">
        <v>0</v>
      </c>
      <c r="N12" s="3">
        <f t="shared" si="0"/>
        <v>225000.00000000003</v>
      </c>
      <c r="O12" t="s">
        <v>5</v>
      </c>
      <c r="P12" s="2">
        <v>225000</v>
      </c>
    </row>
    <row r="13" spans="1:16" x14ac:dyDescent="0.3">
      <c r="A13">
        <v>8</v>
      </c>
      <c r="B13" s="2">
        <v>0</v>
      </c>
      <c r="C13" s="2">
        <v>0</v>
      </c>
      <c r="D13" s="2">
        <v>0</v>
      </c>
      <c r="E13" s="2">
        <v>1117.5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1.04</v>
      </c>
      <c r="M13" s="2">
        <v>-1</v>
      </c>
      <c r="N13" s="3">
        <f t="shared" si="0"/>
        <v>255000.00000000093</v>
      </c>
      <c r="O13" t="s">
        <v>5</v>
      </c>
      <c r="P13" s="2">
        <v>255000</v>
      </c>
    </row>
    <row r="16" spans="1:16" x14ac:dyDescent="0.3">
      <c r="O16" s="4">
        <f>B3</f>
        <v>1729668.9843804382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EF91-1355-45F2-A468-34B208CA4626}">
  <dimension ref="B2:H11"/>
  <sheetViews>
    <sheetView tabSelected="1" workbookViewId="0">
      <selection activeCell="E17" sqref="E17"/>
    </sheetView>
  </sheetViews>
  <sheetFormatPr defaultRowHeight="14.4" x14ac:dyDescent="0.3"/>
  <sheetData>
    <row r="2" spans="2:8" x14ac:dyDescent="0.3">
      <c r="B2" t="s">
        <v>81</v>
      </c>
      <c r="C2" t="s">
        <v>82</v>
      </c>
      <c r="D2" t="s">
        <v>83</v>
      </c>
      <c r="E2" t="s">
        <v>84</v>
      </c>
    </row>
    <row r="3" spans="2:8" x14ac:dyDescent="0.3">
      <c r="B3" s="1">
        <v>266666.66666666657</v>
      </c>
      <c r="C3" s="1">
        <v>533333.33333333349</v>
      </c>
      <c r="D3" s="1">
        <v>333333.33333333343</v>
      </c>
      <c r="E3" s="1">
        <v>166666.66666666663</v>
      </c>
    </row>
    <row r="4" spans="2:8" x14ac:dyDescent="0.3">
      <c r="B4" s="2">
        <v>0.1</v>
      </c>
      <c r="C4" s="2">
        <v>0.15</v>
      </c>
      <c r="D4" s="2">
        <v>0.1</v>
      </c>
      <c r="E4" s="2">
        <v>0.15</v>
      </c>
    </row>
    <row r="6" spans="2:8" x14ac:dyDescent="0.3">
      <c r="B6" s="2">
        <v>1</v>
      </c>
      <c r="C6" s="2">
        <v>1</v>
      </c>
      <c r="D6" s="2">
        <v>0</v>
      </c>
      <c r="E6" s="2">
        <v>0</v>
      </c>
      <c r="F6" s="3">
        <f>SUMPRODUCT($B$3:$E$3,B6:E6)</f>
        <v>800000</v>
      </c>
      <c r="G6" t="s">
        <v>3</v>
      </c>
      <c r="H6" s="2">
        <v>800000</v>
      </c>
    </row>
    <row r="7" spans="2:8" x14ac:dyDescent="0.3">
      <c r="B7" s="2">
        <v>0</v>
      </c>
      <c r="C7" s="2">
        <v>0</v>
      </c>
      <c r="D7" s="2">
        <v>1</v>
      </c>
      <c r="E7" s="2">
        <v>1</v>
      </c>
      <c r="F7" s="3">
        <f t="shared" ref="F7" si="0">SUMPRODUCT($B$3:$E$3,B7:E7)</f>
        <v>500000.00000000006</v>
      </c>
      <c r="G7" t="s">
        <v>3</v>
      </c>
      <c r="H7" s="2">
        <v>500000</v>
      </c>
    </row>
    <row r="8" spans="2:8" x14ac:dyDescent="0.3">
      <c r="B8" s="2">
        <v>0.2</v>
      </c>
      <c r="C8" s="2">
        <v>0.5</v>
      </c>
      <c r="D8" s="2">
        <v>0</v>
      </c>
      <c r="E8" s="2">
        <v>0</v>
      </c>
      <c r="F8" s="3">
        <f>SUMPRODUCT($B$3:$E$3,B8:E8)</f>
        <v>320000.00000000006</v>
      </c>
      <c r="G8" t="s">
        <v>3</v>
      </c>
      <c r="H8" s="2">
        <f>0.4*(B3+C3)</f>
        <v>320000</v>
      </c>
    </row>
    <row r="9" spans="2:8" x14ac:dyDescent="0.3">
      <c r="B9" s="2">
        <v>0</v>
      </c>
      <c r="C9" s="2">
        <v>0</v>
      </c>
      <c r="D9" s="2">
        <v>0.6</v>
      </c>
      <c r="E9" s="2">
        <v>0.3</v>
      </c>
      <c r="F9" s="3">
        <f>SUMPRODUCT($B$3:$E$3,B9:E9)</f>
        <v>250000.00000000006</v>
      </c>
      <c r="G9" t="s">
        <v>4</v>
      </c>
      <c r="H9" s="2">
        <f>0.5*(D3+E3)</f>
        <v>250000.00000000003</v>
      </c>
    </row>
    <row r="11" spans="2:8" x14ac:dyDescent="0.3">
      <c r="H11" s="4">
        <f>SUMPRODUCT(B3:E3,B4:E4)</f>
        <v>165000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Hilltop</vt:lpstr>
      <vt:lpstr>G Kunz</vt:lpstr>
      <vt:lpstr>Andy</vt:lpstr>
      <vt:lpstr>Tots</vt:lpstr>
      <vt:lpstr>Meredith</vt:lpstr>
      <vt:lpstr>Wonder toy</vt:lpstr>
      <vt:lpstr>Atlantic</vt:lpstr>
      <vt:lpstr>Filtron</vt:lpstr>
      <vt:lpstr>Super city</vt:lpstr>
      <vt:lpstr>Northshore</vt:lpstr>
      <vt:lpstr>Union Airways</vt:lpstr>
      <vt:lpstr>G&amp;P</vt:lpstr>
      <vt:lpstr>Hewlit</vt:lpstr>
      <vt:lpstr>Seastrand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Sreerag K</dc:creator>
  <cp:lastModifiedBy>Sreerag K</cp:lastModifiedBy>
  <dcterms:created xsi:type="dcterms:W3CDTF">2024-11-05T12:09:51Z</dcterms:created>
  <dcterms:modified xsi:type="dcterms:W3CDTF">2026-02-12T06:35:54Z</dcterms:modified>
</cp:coreProperties>
</file>