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D:\hedge\Asignment\"/>
    </mc:Choice>
  </mc:AlternateContent>
  <xr:revisionPtr revIDLastSave="0" documentId="13_ncr:1_{2737DEE1-C563-4D39-BEF7-4FA013D6A096}" xr6:coauthVersionLast="47" xr6:coauthVersionMax="47" xr10:uidLastSave="{00000000-0000-0000-0000-000000000000}"/>
  <bookViews>
    <workbookView xWindow="-108" yWindow="-108" windowWidth="23256" windowHeight="12456" xr2:uid="{5A6576E3-21C1-437F-B4A5-F41DE5EBABE1}"/>
  </bookViews>
  <sheets>
    <sheet name="Task 1,2 &amp;3" sheetId="2" r:id="rId1"/>
    <sheet name="Task 4" sheetId="3" r:id="rId2"/>
    <sheet name="Task 5" sheetId="4" r:id="rId3"/>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 i="4" l="1"/>
  <c r="D7" i="3"/>
  <c r="U6" i="2"/>
  <c r="W12" i="2"/>
  <c r="T12" i="2"/>
  <c r="U12" i="2"/>
  <c r="V12" i="2"/>
  <c r="S12" i="2"/>
  <c r="T11" i="2"/>
  <c r="U11" i="2"/>
  <c r="V11" i="2"/>
  <c r="W11" i="2"/>
  <c r="S8" i="2"/>
  <c r="W8" i="2"/>
  <c r="V8" i="2"/>
  <c r="U8" i="2"/>
  <c r="T8" i="2"/>
  <c r="O8" i="2"/>
  <c r="S15" i="2" s="1"/>
  <c r="O9" i="2"/>
  <c r="O10" i="2"/>
  <c r="O11" i="2"/>
  <c r="O12" i="2"/>
  <c r="O13" i="2"/>
  <c r="O14" i="2"/>
  <c r="O15" i="2"/>
  <c r="O16" i="2"/>
  <c r="O17" i="2"/>
  <c r="O18" i="2"/>
  <c r="O19" i="2"/>
  <c r="O20" i="2"/>
  <c r="O21" i="2"/>
  <c r="O22" i="2"/>
  <c r="O23" i="2"/>
  <c r="O24" i="2"/>
  <c r="O25" i="2"/>
  <c r="O26" i="2"/>
  <c r="T13" i="2" s="1"/>
  <c r="T6" i="2" s="1"/>
  <c r="O27" i="2"/>
  <c r="O28" i="2"/>
  <c r="O29" i="2"/>
  <c r="O7" i="2"/>
  <c r="M7" i="2"/>
  <c r="W7" i="2" s="1"/>
  <c r="M8" i="2"/>
  <c r="M9" i="2"/>
  <c r="M10" i="2"/>
  <c r="M11" i="2"/>
  <c r="M12" i="2"/>
  <c r="M13" i="2"/>
  <c r="M14" i="2"/>
  <c r="M15" i="2"/>
  <c r="M16" i="2"/>
  <c r="M17" i="2"/>
  <c r="M18" i="2"/>
  <c r="M19" i="2"/>
  <c r="M20" i="2"/>
  <c r="M21" i="2"/>
  <c r="M22" i="2"/>
  <c r="M23" i="2"/>
  <c r="M24" i="2"/>
  <c r="M25" i="2"/>
  <c r="M26" i="2"/>
  <c r="M27" i="2"/>
  <c r="M28" i="2"/>
  <c r="M29" i="2"/>
  <c r="K8" i="2"/>
  <c r="K9" i="2"/>
  <c r="K10" i="2"/>
  <c r="K11" i="2"/>
  <c r="K12" i="2"/>
  <c r="K13" i="2"/>
  <c r="K14" i="2"/>
  <c r="K15" i="2"/>
  <c r="K16" i="2"/>
  <c r="K17" i="2"/>
  <c r="K18" i="2"/>
  <c r="K19" i="2"/>
  <c r="K20" i="2"/>
  <c r="K21" i="2"/>
  <c r="K22" i="2"/>
  <c r="K23" i="2"/>
  <c r="K24" i="2"/>
  <c r="K25" i="2"/>
  <c r="K26" i="2"/>
  <c r="K27" i="2"/>
  <c r="K28" i="2"/>
  <c r="K29" i="2"/>
  <c r="K7" i="2"/>
  <c r="V7" i="2" s="1"/>
  <c r="I8" i="2"/>
  <c r="I9" i="2"/>
  <c r="I10" i="2"/>
  <c r="I11" i="2"/>
  <c r="I12" i="2"/>
  <c r="I13" i="2"/>
  <c r="I14" i="2"/>
  <c r="I15" i="2"/>
  <c r="I16" i="2"/>
  <c r="I17" i="2"/>
  <c r="I18" i="2"/>
  <c r="I19" i="2"/>
  <c r="I20" i="2"/>
  <c r="I21" i="2"/>
  <c r="I22" i="2"/>
  <c r="I23" i="2"/>
  <c r="I24" i="2"/>
  <c r="I25" i="2"/>
  <c r="I26" i="2"/>
  <c r="I27" i="2"/>
  <c r="I28" i="2"/>
  <c r="I29" i="2"/>
  <c r="I7" i="2"/>
  <c r="U7" i="2" s="1"/>
  <c r="G8" i="2"/>
  <c r="G9" i="2"/>
  <c r="G10" i="2"/>
  <c r="G11" i="2"/>
  <c r="G12" i="2"/>
  <c r="G13" i="2"/>
  <c r="G14" i="2"/>
  <c r="G15" i="2"/>
  <c r="G16" i="2"/>
  <c r="G17" i="2"/>
  <c r="G18" i="2"/>
  <c r="G19" i="2"/>
  <c r="G20" i="2"/>
  <c r="G21" i="2"/>
  <c r="G22" i="2"/>
  <c r="G23" i="2"/>
  <c r="G24" i="2"/>
  <c r="G25" i="2"/>
  <c r="G26" i="2"/>
  <c r="G27" i="2"/>
  <c r="G28" i="2"/>
  <c r="G29" i="2"/>
  <c r="G7" i="2"/>
  <c r="T7" i="2" s="1"/>
  <c r="E8" i="2"/>
  <c r="S7" i="2" s="1"/>
  <c r="E9" i="2"/>
  <c r="E10" i="2"/>
  <c r="E11" i="2"/>
  <c r="S5" i="2" s="1"/>
  <c r="E12" i="2"/>
  <c r="E13" i="2"/>
  <c r="E14" i="2"/>
  <c r="E15" i="2"/>
  <c r="E16" i="2"/>
  <c r="E17" i="2"/>
  <c r="E18" i="2"/>
  <c r="E19" i="2"/>
  <c r="E20" i="2"/>
  <c r="E21" i="2"/>
  <c r="E22" i="2"/>
  <c r="E23" i="2"/>
  <c r="E24" i="2"/>
  <c r="E25" i="2"/>
  <c r="E26" i="2"/>
  <c r="E27" i="2"/>
  <c r="E28" i="2"/>
  <c r="E29" i="2"/>
  <c r="E7" i="2"/>
  <c r="S10" i="2" l="1"/>
  <c r="S11" i="2"/>
  <c r="S13" i="2"/>
  <c r="S6" i="2" s="1"/>
  <c r="U13" i="2"/>
  <c r="W13" i="2"/>
  <c r="W6" i="2" s="1"/>
  <c r="V13" i="2"/>
  <c r="V6" i="2" s="1"/>
  <c r="V5" i="2"/>
  <c r="V10" i="2" s="1"/>
  <c r="T5" i="2"/>
  <c r="T10" i="2" s="1"/>
  <c r="U5" i="2"/>
  <c r="U10" i="2" s="1"/>
  <c r="W5" i="2"/>
  <c r="W10" i="2" s="1"/>
</calcChain>
</file>

<file path=xl/sharedStrings.xml><?xml version="1.0" encoding="utf-8"?>
<sst xmlns="http://schemas.openxmlformats.org/spreadsheetml/2006/main" count="40" uniqueCount="26">
  <si>
    <t>Standard deviation</t>
  </si>
  <si>
    <t>Beta</t>
  </si>
  <si>
    <t>Average return</t>
  </si>
  <si>
    <t>Avegare downside return</t>
  </si>
  <si>
    <t>Risk free rate</t>
  </si>
  <si>
    <t>Sharpe ratio</t>
  </si>
  <si>
    <t>Sortino ratio</t>
  </si>
  <si>
    <t>Treynor ratio</t>
  </si>
  <si>
    <t>Date</t>
  </si>
  <si>
    <t>Adj Close</t>
  </si>
  <si>
    <t>Returns</t>
  </si>
  <si>
    <t>Tata Small Cap Fund</t>
  </si>
  <si>
    <t>Quant ELSS Tax Saver Fund</t>
  </si>
  <si>
    <t>ICICI Prudential Midcap Fund</t>
  </si>
  <si>
    <t>Nippon India Large Cap Fund</t>
  </si>
  <si>
    <t>Mahindra Manulife Flexi Cap Fund</t>
  </si>
  <si>
    <t>Mahindra Manulife Large Cap Fund</t>
  </si>
  <si>
    <t>Benchmark Index (NIFTY 50)</t>
  </si>
  <si>
    <t>Covariance</t>
  </si>
  <si>
    <t>Variance of Index</t>
  </si>
  <si>
    <t>Bond's nominal return</t>
  </si>
  <si>
    <t>Inflation rate</t>
  </si>
  <si>
    <t>Real return of the bond</t>
  </si>
  <si>
    <t>Nominal return of the investment</t>
  </si>
  <si>
    <t>Marginal tax</t>
  </si>
  <si>
    <t>After tax return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</si>
</sst>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70" formatCode="\ mmm\ dd\,\ yyyy"/>
    <numFmt numFmtId="171" formatCode="0.00000"/>
    <numFmt numFmtId="172" formatCode="0.0000"/>
    <numFmt numFmtId="174" formatCode="0.0000000"/>
  </numFmts>
  <fonts count="2" x14ac:knownFonts="1">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theme="9" tint="0.59999389629810485"/>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8" tint="0.39997558519241921"/>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rgb="FF92D050"/>
        <bgColor indexed="64"/>
      </patternFill>
    </fill>
    <fill>
      <patternFill patternType="solid">
        <fgColor rgb="FF00B0F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14" fontId="0" fillId="0" borderId="0" xfId="0" applyNumberFormat="1"/>
    <xf numFmtId="0" fontId="0" fillId="0" borderId="0" xfId="0" applyAlignment="1">
      <alignment horizontal="center" vertical="center"/>
    </xf>
    <xf numFmtId="0" fontId="0" fillId="4" borderId="1" xfId="0" applyFill="1" applyBorder="1"/>
    <xf numFmtId="0" fontId="0" fillId="6" borderId="1" xfId="0" applyFill="1" applyBorder="1"/>
    <xf numFmtId="172" fontId="0" fillId="2" borderId="1" xfId="0" applyNumberFormat="1" applyFill="1" applyBorder="1"/>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2" borderId="1" xfId="0" applyFont="1" applyFill="1" applyBorder="1" applyAlignment="1">
      <alignment horizontal="center" vertical="center"/>
    </xf>
    <xf numFmtId="0" fontId="1" fillId="7"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2" borderId="1" xfId="0" applyFont="1" applyFill="1" applyBorder="1" applyAlignment="1">
      <alignment horizontal="center" vertical="center"/>
    </xf>
    <xf numFmtId="0" fontId="1" fillId="7" borderId="1" xfId="0" applyFont="1" applyFill="1" applyBorder="1" applyAlignment="1">
      <alignment horizontal="center" vertical="center"/>
    </xf>
    <xf numFmtId="170" fontId="0" fillId="3" borderId="1" xfId="0" applyNumberFormat="1" applyFill="1" applyBorder="1"/>
    <xf numFmtId="172" fontId="0" fillId="4" borderId="1" xfId="0" applyNumberFormat="1" applyFill="1" applyBorder="1"/>
    <xf numFmtId="0" fontId="0" fillId="7" borderId="1" xfId="0" applyFill="1" applyBorder="1"/>
    <xf numFmtId="172" fontId="0" fillId="7" borderId="1" xfId="0" applyNumberFormat="1" applyFill="1" applyBorder="1"/>
    <xf numFmtId="0" fontId="0" fillId="6" borderId="0" xfId="0" applyFill="1" applyBorder="1"/>
    <xf numFmtId="0" fontId="0" fillId="6" borderId="1" xfId="0" applyFill="1" applyBorder="1" applyAlignment="1">
      <alignment vertical="center"/>
    </xf>
    <xf numFmtId="0" fontId="0" fillId="0" borderId="0" xfId="0" applyAlignment="1">
      <alignment horizontal="right" vertical="center"/>
    </xf>
    <xf numFmtId="0" fontId="0" fillId="5" borderId="1" xfId="0" applyFill="1" applyBorder="1" applyAlignment="1">
      <alignment horizontal="center" vertical="center"/>
    </xf>
    <xf numFmtId="0" fontId="0" fillId="2" borderId="1" xfId="0" applyFill="1" applyBorder="1" applyAlignment="1">
      <alignment horizontal="center" vertical="center"/>
    </xf>
    <xf numFmtId="171" fontId="1" fillId="5" borderId="1" xfId="0" applyNumberFormat="1" applyFont="1" applyFill="1" applyBorder="1" applyAlignment="1">
      <alignment horizontal="right" vertical="center"/>
    </xf>
    <xf numFmtId="171" fontId="1" fillId="2" borderId="1" xfId="0" applyNumberFormat="1" applyFont="1" applyFill="1" applyBorder="1" applyAlignment="1">
      <alignment horizontal="right" vertical="center"/>
    </xf>
    <xf numFmtId="174" fontId="1" fillId="5" borderId="1" xfId="0" applyNumberFormat="1" applyFont="1" applyFill="1" applyBorder="1" applyAlignment="1">
      <alignment horizontal="right" vertical="center"/>
    </xf>
    <xf numFmtId="174" fontId="1" fillId="2" borderId="1" xfId="0" applyNumberFormat="1" applyFont="1" applyFill="1" applyBorder="1" applyAlignment="1">
      <alignment horizontal="right" vertical="center"/>
    </xf>
    <xf numFmtId="174" fontId="0" fillId="0" borderId="0" xfId="0" applyNumberFormat="1" applyAlignment="1">
      <alignment horizontal="right" vertical="center"/>
    </xf>
    <xf numFmtId="171" fontId="1" fillId="8" borderId="1" xfId="0" applyNumberFormat="1" applyFont="1" applyFill="1" applyBorder="1" applyAlignment="1">
      <alignment horizontal="right" vertical="center"/>
    </xf>
    <xf numFmtId="171" fontId="1" fillId="9" borderId="1" xfId="0" applyNumberFormat="1" applyFont="1" applyFill="1" applyBorder="1" applyAlignment="1">
      <alignment horizontal="right" vertical="center"/>
    </xf>
    <xf numFmtId="9" fontId="0" fillId="0" borderId="0" xfId="0" applyNumberFormat="1"/>
    <xf numFmtId="0" fontId="1" fillId="0" borderId="0" xfId="0" applyFont="1"/>
    <xf numFmtId="10" fontId="1" fillId="0" borderId="0" xfId="0" applyNumberFormat="1" applyFont="1"/>
  </cellXfs>
  <cellStyles count="1">
    <cellStyle name="Normal" xfId="0" builtinId="0"/>
  </cellStyles>
  <dxfs count="0"/>
  <tableStyles count="1" defaultTableStyle="TableStyleMedium2" defaultPivotStyle="PivotStyleLight16">
    <tableStyle name="Invisible" pivot="0" table="0" count="0" xr9:uid="{12A9C379-2D63-4A70-9E4F-8C0AD0A8D1BF}"/>
  </tableStyles>
  <colors>
    <mruColors>
      <color rgb="FFEBF793"/>
      <color rgb="FFE8F67E"/>
      <color rgb="FF9896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17</xdr:col>
      <xdr:colOff>381000</xdr:colOff>
      <xdr:row>16</xdr:row>
      <xdr:rowOff>50322</xdr:rowOff>
    </xdr:from>
    <xdr:to>
      <xdr:col>21</xdr:col>
      <xdr:colOff>1444925</xdr:colOff>
      <xdr:row>22</xdr:row>
      <xdr:rowOff>14378</xdr:rowOff>
    </xdr:to>
    <xdr:sp macro="" textlink="">
      <xdr:nvSpPr>
        <xdr:cNvPr id="2" name="TextBox 1">
          <a:extLst>
            <a:ext uri="{FF2B5EF4-FFF2-40B4-BE49-F238E27FC236}">
              <a16:creationId xmlns:a16="http://schemas.microsoft.com/office/drawing/2014/main" id="{D0BF7593-C13A-078B-055F-DEE9E1CFC6DD}"/>
            </a:ext>
          </a:extLst>
        </xdr:cNvPr>
        <xdr:cNvSpPr txBox="1"/>
      </xdr:nvSpPr>
      <xdr:spPr>
        <a:xfrm>
          <a:off x="14686472" y="3393058"/>
          <a:ext cx="7080849" cy="1258018"/>
        </a:xfrm>
        <a:prstGeom prst="rect">
          <a:avLst/>
        </a:prstGeom>
        <a:solidFill>
          <a:srgbClr val="EBF79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From the above portfolio</a:t>
          </a:r>
          <a:r>
            <a:rPr lang="en-IN" sz="1400" b="1" baseline="0"/>
            <a:t>, </a:t>
          </a:r>
          <a:r>
            <a:rPr lang="en-IN" sz="1400" b="1" baseline="0">
              <a:solidFill>
                <a:srgbClr val="FF0000"/>
              </a:solidFill>
            </a:rPr>
            <a:t>ICICI Prudential Midcap Fund </a:t>
          </a:r>
          <a:r>
            <a:rPr lang="en-IN" sz="1400" b="1" baseline="0"/>
            <a:t>is the best Fund. Because, when compared to other funds it has the highest Sharpe ratio and Treynor ratio. It has also the 2nd best Sortino ratio. These suggest that the fund offers better risk-adjusted returns. The fund has also a beta of 0.85135 which is considered a better rate. It has also the 2nd best average return among the funds of 0.02647.</a:t>
          </a:r>
        </a:p>
        <a:p>
          <a:endParaRPr lang="en-IN" sz="1400" b="1"/>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DAC33-3F0E-4863-AC09-1EE033AB2B60}">
  <dimension ref="C3:W29"/>
  <sheetViews>
    <sheetView tabSelected="1" topLeftCell="N1" zoomScale="87" workbookViewId="0">
      <selection activeCell="R16" sqref="R16"/>
    </sheetView>
  </sheetViews>
  <sheetFormatPr defaultRowHeight="14.4" x14ac:dyDescent="0.3"/>
  <cols>
    <col min="3" max="3" width="12.33203125" bestFit="1" customWidth="1"/>
    <col min="4" max="4" width="10" bestFit="1" customWidth="1"/>
    <col min="6" max="6" width="12.21875" customWidth="1"/>
    <col min="7" max="7" width="12.109375" customWidth="1"/>
    <col min="8" max="8" width="12.5546875" customWidth="1"/>
    <col min="9" max="9" width="12.6640625" customWidth="1"/>
    <col min="10" max="10" width="13.109375" customWidth="1"/>
    <col min="11" max="11" width="13" customWidth="1"/>
    <col min="12" max="12" width="15.21875" customWidth="1"/>
    <col min="13" max="15" width="16.33203125" customWidth="1"/>
    <col min="16" max="16" width="10.5546875" bestFit="1" customWidth="1"/>
    <col min="18" max="18" width="22.6640625" bestFit="1" customWidth="1"/>
    <col min="19" max="19" width="17.5546875" bestFit="1" customWidth="1"/>
    <col min="20" max="20" width="23" bestFit="1" customWidth="1"/>
    <col min="21" max="21" width="24.6640625" bestFit="1" customWidth="1"/>
    <col min="22" max="22" width="24.44140625" bestFit="1" customWidth="1"/>
    <col min="23" max="23" width="29.77734375" bestFit="1" customWidth="1"/>
    <col min="24" max="27" width="8.88671875" customWidth="1"/>
  </cols>
  <sheetData>
    <row r="3" spans="3:23" x14ac:dyDescent="0.3">
      <c r="C3" s="6" t="s">
        <v>8</v>
      </c>
      <c r="D3" s="7" t="s">
        <v>11</v>
      </c>
      <c r="E3" s="7"/>
      <c r="F3" s="8" t="s">
        <v>12</v>
      </c>
      <c r="G3" s="8"/>
      <c r="H3" s="7" t="s">
        <v>13</v>
      </c>
      <c r="I3" s="7"/>
      <c r="J3" s="8" t="s">
        <v>14</v>
      </c>
      <c r="K3" s="8"/>
      <c r="L3" s="7" t="s">
        <v>15</v>
      </c>
      <c r="M3" s="7"/>
      <c r="N3" s="9" t="s">
        <v>17</v>
      </c>
      <c r="O3" s="9"/>
    </row>
    <row r="4" spans="3:23" ht="16.8" customHeight="1" x14ac:dyDescent="0.3">
      <c r="C4" s="6"/>
      <c r="D4" s="7"/>
      <c r="E4" s="7"/>
      <c r="F4" s="8"/>
      <c r="G4" s="8"/>
      <c r="H4" s="7"/>
      <c r="I4" s="7"/>
      <c r="J4" s="8"/>
      <c r="K4" s="8"/>
      <c r="L4" s="7"/>
      <c r="M4" s="7"/>
      <c r="N4" s="9"/>
      <c r="O4" s="9"/>
      <c r="R4" s="4"/>
      <c r="S4" s="20" t="s">
        <v>11</v>
      </c>
      <c r="T4" s="21" t="s">
        <v>12</v>
      </c>
      <c r="U4" s="20" t="s">
        <v>13</v>
      </c>
      <c r="V4" s="21" t="s">
        <v>14</v>
      </c>
      <c r="W4" s="20" t="s">
        <v>16</v>
      </c>
    </row>
    <row r="5" spans="3:23" s="2" customFormat="1" ht="16.8" customHeight="1" x14ac:dyDescent="0.3">
      <c r="C5" s="6"/>
      <c r="D5" s="10" t="s">
        <v>9</v>
      </c>
      <c r="E5" s="10" t="s">
        <v>10</v>
      </c>
      <c r="F5" s="11" t="s">
        <v>9</v>
      </c>
      <c r="G5" s="11" t="s">
        <v>10</v>
      </c>
      <c r="H5" s="10" t="s">
        <v>9</v>
      </c>
      <c r="I5" s="10" t="s">
        <v>10</v>
      </c>
      <c r="J5" s="11" t="s">
        <v>9</v>
      </c>
      <c r="K5" s="11" t="s">
        <v>10</v>
      </c>
      <c r="L5" s="10" t="s">
        <v>9</v>
      </c>
      <c r="M5" s="10" t="s">
        <v>10</v>
      </c>
      <c r="N5" s="12" t="s">
        <v>9</v>
      </c>
      <c r="O5" s="12" t="s">
        <v>10</v>
      </c>
      <c r="R5" s="18" t="s">
        <v>0</v>
      </c>
      <c r="S5" s="22">
        <f>_xlfn.STDEV.P(E7:E29)</f>
        <v>3.5350966616899314E-2</v>
      </c>
      <c r="T5" s="23">
        <f>_xlfn.STDEV.P(G7:G29)</f>
        <v>3.1831977805732742E-2</v>
      </c>
      <c r="U5" s="22">
        <f>_xlfn.STDEV.P(I7:I29)</f>
        <v>3.8595792209773751E-2</v>
      </c>
      <c r="V5" s="27">
        <f>_xlfn.STDEV.P(K7:K290)</f>
        <v>2.9498862487562033E-2</v>
      </c>
      <c r="W5" s="22">
        <f>_xlfn.STDEV.P(M7:M29)</f>
        <v>2.9529930607353563E-2</v>
      </c>
    </row>
    <row r="6" spans="3:23" ht="16.8" customHeight="1" x14ac:dyDescent="0.3">
      <c r="C6" s="13">
        <v>44743</v>
      </c>
      <c r="D6" s="14">
        <v>22.409200999999999</v>
      </c>
      <c r="E6" s="14"/>
      <c r="F6" s="5">
        <v>75.339995999999999</v>
      </c>
      <c r="G6" s="5"/>
      <c r="H6" s="14">
        <v>160.69000199999999</v>
      </c>
      <c r="I6" s="14"/>
      <c r="J6" s="5">
        <v>51.555698</v>
      </c>
      <c r="K6" s="5"/>
      <c r="L6" s="14">
        <v>10.233700000000001</v>
      </c>
      <c r="M6" s="3"/>
      <c r="N6" s="15">
        <v>17158.25</v>
      </c>
      <c r="O6" s="15"/>
      <c r="P6" s="1"/>
      <c r="R6" s="18" t="s">
        <v>1</v>
      </c>
      <c r="S6" s="22">
        <f>S13/$S$15</f>
        <v>0.6193783850575677</v>
      </c>
      <c r="T6" s="27">
        <f t="shared" ref="T6:W6" si="0">T13/$S$15</f>
        <v>0.92658431432647659</v>
      </c>
      <c r="U6" s="22">
        <f>U13/$S$15</f>
        <v>0.85135368930189725</v>
      </c>
      <c r="V6" s="23">
        <f t="shared" si="0"/>
        <v>0.89903027100946376</v>
      </c>
      <c r="W6" s="22">
        <f t="shared" si="0"/>
        <v>0.84559377296372906</v>
      </c>
    </row>
    <row r="7" spans="3:23" ht="16.8" customHeight="1" x14ac:dyDescent="0.3">
      <c r="C7" s="13">
        <v>44774</v>
      </c>
      <c r="D7" s="14">
        <v>24.0669</v>
      </c>
      <c r="E7" s="14">
        <f>D7/D6-1</f>
        <v>7.3974034147848533E-2</v>
      </c>
      <c r="F7" s="5">
        <v>77.809997999999993</v>
      </c>
      <c r="G7" s="5">
        <f>F7/F6-1</f>
        <v>3.2784737604711234E-2</v>
      </c>
      <c r="H7" s="14">
        <v>165.509995</v>
      </c>
      <c r="I7" s="14">
        <f>H7/H6-1</f>
        <v>2.9995599850698884E-2</v>
      </c>
      <c r="J7" s="5">
        <v>53.648102000000002</v>
      </c>
      <c r="K7" s="5">
        <f>J7/J6-1</f>
        <v>4.0585310279379838E-2</v>
      </c>
      <c r="L7" s="14">
        <v>10.6328</v>
      </c>
      <c r="M7" s="14">
        <f>L7/L6-1</f>
        <v>3.8998602655930803E-2</v>
      </c>
      <c r="N7" s="16">
        <v>17759.300781000002</v>
      </c>
      <c r="O7" s="16">
        <f>N7/N6-1</f>
        <v>3.5029841679658613E-2</v>
      </c>
      <c r="P7" s="1"/>
      <c r="R7" s="18" t="s">
        <v>2</v>
      </c>
      <c r="S7" s="28">
        <f>AVERAGE(E7:E29)</f>
        <v>2.9815874194322734E-2</v>
      </c>
      <c r="T7" s="23">
        <f>AVERAGE(G7:G29)</f>
        <v>2.0626889955151047E-2</v>
      </c>
      <c r="U7" s="22">
        <f>AVERAGE(I7:I29)</f>
        <v>2.6468743105237863E-2</v>
      </c>
      <c r="V7" s="23">
        <f>AVERAGE(K7:K29)</f>
        <v>2.231067910839685E-2</v>
      </c>
      <c r="W7" s="22">
        <f>AVERAGE(M7:M29)</f>
        <v>2.0980533382606636E-2</v>
      </c>
    </row>
    <row r="8" spans="3:23" ht="16.8" customHeight="1" x14ac:dyDescent="0.3">
      <c r="C8" s="13">
        <v>44805</v>
      </c>
      <c r="D8" s="14">
        <v>24.5366</v>
      </c>
      <c r="E8" s="14">
        <f t="shared" ref="E8:E29" si="1">D8/D7-1</f>
        <v>1.9516431281137114E-2</v>
      </c>
      <c r="F8" s="5">
        <v>75.519997000000004</v>
      </c>
      <c r="G8" s="5">
        <f t="shared" ref="G8:G29" si="2">F8/F7-1</f>
        <v>-2.9430678047312031E-2</v>
      </c>
      <c r="H8" s="14">
        <v>165.38000500000001</v>
      </c>
      <c r="I8" s="14">
        <f t="shared" ref="I8:I29" si="3">H8/H7-1</f>
        <v>-7.8539063456550817E-4</v>
      </c>
      <c r="J8" s="5">
        <v>52.606098000000003</v>
      </c>
      <c r="K8" s="5">
        <f t="shared" ref="K8:K29" si="4">J8/J7-1</f>
        <v>-1.9422942492914208E-2</v>
      </c>
      <c r="L8" s="14">
        <v>10.2895</v>
      </c>
      <c r="M8" s="14">
        <f t="shared" ref="M8:M29" si="5">L8/L7-1</f>
        <v>-3.2286885862613746E-2</v>
      </c>
      <c r="N8" s="16">
        <v>17094.349609000001</v>
      </c>
      <c r="O8" s="16">
        <f t="shared" ref="O8:O29" si="6">N8/N7-1</f>
        <v>-3.7442418493829788E-2</v>
      </c>
      <c r="P8" s="1"/>
      <c r="R8" s="18" t="s">
        <v>3</v>
      </c>
      <c r="S8" s="28">
        <f>AVERAGEIF(E7:E29,"&lt;0",E7:E29)</f>
        <v>-1.2758771330318797E-2</v>
      </c>
      <c r="T8" s="23">
        <f>AVERAGEIF(G7:G29,"&lt;0",G7:G29)</f>
        <v>-1.9841757002658618E-2</v>
      </c>
      <c r="U8" s="22">
        <f>AVERAGEIF(I7:I29,"&lt;0",I7:I29)</f>
        <v>-2.0657443087648775E-2</v>
      </c>
      <c r="V8" s="23">
        <f>AVERAGEIF(K7:K29,"&lt;0",K7:K29)</f>
        <v>-1.825438741746982E-2</v>
      </c>
      <c r="W8" s="22">
        <f>AVERAGEIF(M7:M29,"&lt;0",M7:M29)</f>
        <v>-2.3101946396493812E-2</v>
      </c>
    </row>
    <row r="9" spans="3:23" ht="16.8" customHeight="1" x14ac:dyDescent="0.3">
      <c r="C9" s="13">
        <v>44835</v>
      </c>
      <c r="D9" s="14">
        <v>24.786899999999999</v>
      </c>
      <c r="E9" s="14">
        <f t="shared" si="1"/>
        <v>1.0201087355216298E-2</v>
      </c>
      <c r="F9" s="5">
        <v>78.709998999999996</v>
      </c>
      <c r="G9" s="5">
        <f t="shared" si="2"/>
        <v>4.2240494262731465E-2</v>
      </c>
      <c r="H9" s="14">
        <v>168.86999499999999</v>
      </c>
      <c r="I9" s="14">
        <f t="shared" si="3"/>
        <v>2.1102853395124521E-2</v>
      </c>
      <c r="J9" s="5">
        <v>55.134300000000003</v>
      </c>
      <c r="K9" s="5">
        <f t="shared" si="4"/>
        <v>4.8059105239092181E-2</v>
      </c>
      <c r="L9" s="14">
        <v>10.656000000000001</v>
      </c>
      <c r="M9" s="14">
        <f t="shared" si="5"/>
        <v>3.5618834734437943E-2</v>
      </c>
      <c r="N9" s="16">
        <v>18012.199218999998</v>
      </c>
      <c r="O9" s="16">
        <f t="shared" si="6"/>
        <v>5.3693157738903263E-2</v>
      </c>
      <c r="P9" s="1"/>
      <c r="R9" s="18" t="s">
        <v>4</v>
      </c>
      <c r="S9" s="22">
        <v>6.8150000000000002E-2</v>
      </c>
      <c r="T9" s="23">
        <v>6.8150000000000002E-2</v>
      </c>
      <c r="U9" s="22">
        <v>6.8150000000000002E-2</v>
      </c>
      <c r="V9" s="23">
        <v>6.8150000000000002E-2</v>
      </c>
      <c r="W9" s="22">
        <v>6.8150000000000002E-2</v>
      </c>
    </row>
    <row r="10" spans="3:23" ht="16.8" customHeight="1" x14ac:dyDescent="0.3">
      <c r="C10" s="13">
        <v>44866</v>
      </c>
      <c r="D10" s="14">
        <v>26.043199999999999</v>
      </c>
      <c r="E10" s="14">
        <f t="shared" si="1"/>
        <v>5.068403067749494E-2</v>
      </c>
      <c r="F10" s="5">
        <v>81.620002999999997</v>
      </c>
      <c r="G10" s="5">
        <f t="shared" si="2"/>
        <v>3.6971211243440605E-2</v>
      </c>
      <c r="H10" s="14">
        <v>171.64999399999999</v>
      </c>
      <c r="I10" s="14">
        <f t="shared" si="3"/>
        <v>1.6462362067340752E-2</v>
      </c>
      <c r="J10" s="5">
        <v>56.849299999999999</v>
      </c>
      <c r="K10" s="5">
        <f t="shared" si="4"/>
        <v>3.1105863319204063E-2</v>
      </c>
      <c r="L10" s="14">
        <v>11.0067</v>
      </c>
      <c r="M10" s="14">
        <f t="shared" si="5"/>
        <v>3.2911036036036068E-2</v>
      </c>
      <c r="N10" s="16">
        <v>18758.349609000001</v>
      </c>
      <c r="O10" s="16">
        <f t="shared" si="6"/>
        <v>4.1424724484111497E-2</v>
      </c>
      <c r="P10" s="1"/>
      <c r="R10" s="18" t="s">
        <v>5</v>
      </c>
      <c r="S10" s="22">
        <f>(S7-S9)/S5</f>
        <v>-1.0843869199138638</v>
      </c>
      <c r="T10" s="23">
        <f t="shared" ref="T10:V10" si="7">(T7-T9)/T5</f>
        <v>-1.4929361390887352</v>
      </c>
      <c r="U10" s="28">
        <f t="shared" si="7"/>
        <v>-1.0799430328627131</v>
      </c>
      <c r="V10" s="23">
        <f t="shared" si="7"/>
        <v>-1.5539352038042467</v>
      </c>
      <c r="W10" s="22">
        <f>(W7-W9)/W5</f>
        <v>-1.5973443095612014</v>
      </c>
    </row>
    <row r="11" spans="3:23" ht="16.8" customHeight="1" x14ac:dyDescent="0.3">
      <c r="C11" s="13">
        <v>44896</v>
      </c>
      <c r="D11" s="14">
        <v>25.856898999999999</v>
      </c>
      <c r="E11" s="14">
        <f t="shared" si="1"/>
        <v>-7.1535371997296648E-3</v>
      </c>
      <c r="F11" s="5">
        <v>79.699996999999996</v>
      </c>
      <c r="G11" s="5">
        <f t="shared" si="2"/>
        <v>-2.352371881191917E-2</v>
      </c>
      <c r="H11" s="14">
        <v>168.36000100000001</v>
      </c>
      <c r="I11" s="14">
        <f t="shared" si="3"/>
        <v>-1.9166869297997047E-2</v>
      </c>
      <c r="J11" s="5">
        <v>55.1586</v>
      </c>
      <c r="K11" s="5">
        <f t="shared" si="4"/>
        <v>-2.9740031979285542E-2</v>
      </c>
      <c r="L11" s="14">
        <v>10.658200000000001</v>
      </c>
      <c r="M11" s="14">
        <f t="shared" si="5"/>
        <v>-3.1662532820918132E-2</v>
      </c>
      <c r="N11" s="16">
        <v>18105.300781000002</v>
      </c>
      <c r="O11" s="16">
        <f t="shared" si="6"/>
        <v>-3.4813767821379904E-2</v>
      </c>
      <c r="P11" s="1"/>
      <c r="R11" s="18" t="s">
        <v>6</v>
      </c>
      <c r="S11" s="28">
        <f>(S8-S9)/S5</f>
        <v>-2.2887286847664545</v>
      </c>
      <c r="T11" s="23">
        <f t="shared" ref="T11:W11" si="8">(T8-T9)/T5</f>
        <v>-2.7642566710640222</v>
      </c>
      <c r="U11" s="22">
        <f t="shared" si="8"/>
        <v>-2.3009617889164549</v>
      </c>
      <c r="V11" s="23">
        <f t="shared" si="8"/>
        <v>-2.929075229727979</v>
      </c>
      <c r="W11" s="22">
        <f t="shared" si="8"/>
        <v>-3.0901510609635565</v>
      </c>
    </row>
    <row r="12" spans="3:23" ht="16.8" customHeight="1" x14ac:dyDescent="0.3">
      <c r="C12" s="13">
        <v>44927</v>
      </c>
      <c r="D12" s="14">
        <v>25.498799999999999</v>
      </c>
      <c r="E12" s="14">
        <f t="shared" si="1"/>
        <v>-1.3849263208244755E-2</v>
      </c>
      <c r="F12" s="5">
        <v>79.040001000000004</v>
      </c>
      <c r="G12" s="5">
        <f t="shared" si="2"/>
        <v>-8.281004075821885E-3</v>
      </c>
      <c r="H12" s="14">
        <v>166.029999</v>
      </c>
      <c r="I12" s="14">
        <f t="shared" si="3"/>
        <v>-1.3839403576625164E-2</v>
      </c>
      <c r="J12" s="5">
        <v>54.315102000000003</v>
      </c>
      <c r="K12" s="5">
        <f t="shared" si="4"/>
        <v>-1.5292230042096677E-2</v>
      </c>
      <c r="L12" s="14">
        <v>10.459300000000001</v>
      </c>
      <c r="M12" s="14">
        <f t="shared" si="5"/>
        <v>-1.8661687714623509E-2</v>
      </c>
      <c r="N12" s="16">
        <v>17662.150390999999</v>
      </c>
      <c r="O12" s="16">
        <f t="shared" si="6"/>
        <v>-2.4476278818027275E-2</v>
      </c>
      <c r="P12" s="1"/>
      <c r="R12" s="18" t="s">
        <v>7</v>
      </c>
      <c r="S12" s="22">
        <f>(S7-S9)/S6</f>
        <v>-6.1891287669191643E-2</v>
      </c>
      <c r="T12" s="23">
        <f t="shared" ref="T12:V12" si="9">(T7-T9)/T6</f>
        <v>-5.1288489682013397E-2</v>
      </c>
      <c r="U12" s="28">
        <f t="shared" si="9"/>
        <v>-4.8958802221131401E-2</v>
      </c>
      <c r="V12" s="23">
        <f t="shared" si="9"/>
        <v>-5.098751662736907E-2</v>
      </c>
      <c r="W12" s="22">
        <f>(W7-W9)/W6</f>
        <v>-5.5782656076177911E-2</v>
      </c>
    </row>
    <row r="13" spans="3:23" ht="16.8" customHeight="1" x14ac:dyDescent="0.3">
      <c r="C13" s="13">
        <v>44958</v>
      </c>
      <c r="D13" s="14">
        <v>25.279499000000001</v>
      </c>
      <c r="E13" s="14">
        <f t="shared" si="1"/>
        <v>-8.6004439424599566E-3</v>
      </c>
      <c r="F13" s="5">
        <v>76.830001999999993</v>
      </c>
      <c r="G13" s="5">
        <f t="shared" si="2"/>
        <v>-2.7960513310216317E-2</v>
      </c>
      <c r="H13" s="14">
        <v>158.14999399999999</v>
      </c>
      <c r="I13" s="14">
        <f t="shared" si="3"/>
        <v>-4.7461332575205351E-2</v>
      </c>
      <c r="J13" s="5">
        <v>53.638302000000003</v>
      </c>
      <c r="K13" s="5">
        <f t="shared" si="4"/>
        <v>-1.2460622830092416E-2</v>
      </c>
      <c r="L13" s="14">
        <v>10.4114</v>
      </c>
      <c r="M13" s="14">
        <f t="shared" si="5"/>
        <v>-4.5796563823583547E-3</v>
      </c>
      <c r="N13" s="16">
        <v>17303.949218999998</v>
      </c>
      <c r="O13" s="16">
        <f t="shared" si="6"/>
        <v>-2.0280722566065723E-2</v>
      </c>
      <c r="P13" s="1"/>
      <c r="R13" s="18" t="s">
        <v>18</v>
      </c>
      <c r="S13" s="24">
        <f>_xlfn.COVARIANCE.P(E7:E29,O7:O29)</f>
        <v>6.173558377155073E-4</v>
      </c>
      <c r="T13" s="25">
        <f>_xlfn.COVARIANCE.P(G7:G29,O7:O29)</f>
        <v>9.2355860227815942E-4</v>
      </c>
      <c r="U13" s="24">
        <f>_xlfn.COVARIANCE.P(I7:I29,O7:O29)</f>
        <v>8.4857363887877696E-4</v>
      </c>
      <c r="V13" s="25">
        <f>_xlfn.COVARIANCE.P(K7:K29,O7:O29)</f>
        <v>8.9609453523157895E-4</v>
      </c>
      <c r="W13" s="24">
        <f>_xlfn.COVARIANCE.P(M7:M29,O7:O29)</f>
        <v>8.4283253124262558E-4</v>
      </c>
    </row>
    <row r="14" spans="3:23" ht="16.8" customHeight="1" x14ac:dyDescent="0.3">
      <c r="C14" s="13">
        <v>44986</v>
      </c>
      <c r="D14" s="14">
        <v>25.456301</v>
      </c>
      <c r="E14" s="14">
        <f t="shared" si="1"/>
        <v>6.9938886051499338E-3</v>
      </c>
      <c r="F14" s="5">
        <v>75.790001000000004</v>
      </c>
      <c r="G14" s="5">
        <f t="shared" si="2"/>
        <v>-1.3536391681988835E-2</v>
      </c>
      <c r="H14" s="14">
        <v>157.46000699999999</v>
      </c>
      <c r="I14" s="14">
        <f t="shared" si="3"/>
        <v>-4.3628645347909556E-3</v>
      </c>
      <c r="J14" s="5">
        <v>53.992699000000002</v>
      </c>
      <c r="K14" s="5">
        <f t="shared" si="4"/>
        <v>6.6071629187665071E-3</v>
      </c>
      <c r="L14" s="14">
        <v>10.5382</v>
      </c>
      <c r="M14" s="14">
        <f t="shared" si="5"/>
        <v>1.2178957681003411E-2</v>
      </c>
      <c r="N14" s="16">
        <v>17359.75</v>
      </c>
      <c r="O14" s="16">
        <f t="shared" si="6"/>
        <v>3.2247425309555044E-3</v>
      </c>
      <c r="P14" s="1"/>
      <c r="S14" s="19"/>
      <c r="T14" s="19"/>
      <c r="U14" s="19"/>
      <c r="V14" s="19"/>
      <c r="W14" s="19"/>
    </row>
    <row r="15" spans="3:23" ht="16.8" customHeight="1" x14ac:dyDescent="0.3">
      <c r="C15" s="13">
        <v>45017</v>
      </c>
      <c r="D15" s="14">
        <v>26.2547</v>
      </c>
      <c r="E15" s="14">
        <f t="shared" si="1"/>
        <v>3.1363511925790011E-2</v>
      </c>
      <c r="F15" s="5">
        <v>78.629997000000003</v>
      </c>
      <c r="G15" s="5">
        <f t="shared" si="2"/>
        <v>3.7471908728434977E-2</v>
      </c>
      <c r="H15" s="14">
        <v>163.529999</v>
      </c>
      <c r="I15" s="14">
        <f t="shared" si="3"/>
        <v>3.8549420361704945E-2</v>
      </c>
      <c r="J15" s="5">
        <v>56.502499</v>
      </c>
      <c r="K15" s="5">
        <f t="shared" si="4"/>
        <v>4.6484062595203879E-2</v>
      </c>
      <c r="L15" s="14">
        <v>10.9283</v>
      </c>
      <c r="M15" s="14">
        <f t="shared" si="5"/>
        <v>3.7017707008787148E-2</v>
      </c>
      <c r="N15" s="16">
        <v>18065</v>
      </c>
      <c r="O15" s="16">
        <f t="shared" si="6"/>
        <v>4.0625585045867663E-2</v>
      </c>
      <c r="P15" s="1"/>
      <c r="R15" s="17" t="s">
        <v>19</v>
      </c>
      <c r="S15" s="26">
        <f>_xlfn.VAR.P(O7:O29)</f>
        <v>9.9673455291489962E-4</v>
      </c>
      <c r="T15" s="19"/>
      <c r="U15" s="19"/>
      <c r="V15" s="19"/>
      <c r="W15" s="19"/>
    </row>
    <row r="16" spans="3:23" ht="16.8" customHeight="1" x14ac:dyDescent="0.3">
      <c r="C16" s="13">
        <v>45047</v>
      </c>
      <c r="D16" s="14">
        <v>27.877600000000001</v>
      </c>
      <c r="E16" s="14">
        <f t="shared" si="1"/>
        <v>6.181369430997119E-2</v>
      </c>
      <c r="F16" s="5">
        <v>81.550003000000004</v>
      </c>
      <c r="G16" s="5">
        <f t="shared" si="2"/>
        <v>3.7136030922142904E-2</v>
      </c>
      <c r="H16" s="14">
        <v>169.36000100000001</v>
      </c>
      <c r="I16" s="14">
        <f t="shared" si="3"/>
        <v>3.565096334404072E-2</v>
      </c>
      <c r="J16" s="5">
        <v>59.048999999999999</v>
      </c>
      <c r="K16" s="5">
        <f t="shared" si="4"/>
        <v>4.5068820761361428E-2</v>
      </c>
      <c r="L16" s="14">
        <v>11.4048</v>
      </c>
      <c r="M16" s="14">
        <f t="shared" si="5"/>
        <v>4.3602390124722001E-2</v>
      </c>
      <c r="N16" s="16">
        <v>18534.400390999999</v>
      </c>
      <c r="O16" s="16">
        <f t="shared" si="6"/>
        <v>2.5983968502629295E-2</v>
      </c>
      <c r="P16" s="1"/>
      <c r="S16" s="19"/>
      <c r="T16" s="19"/>
      <c r="U16" s="19"/>
      <c r="V16" s="19"/>
      <c r="W16" s="19"/>
    </row>
    <row r="17" spans="3:16" ht="16.8" customHeight="1" x14ac:dyDescent="0.3">
      <c r="C17" s="13">
        <v>45078</v>
      </c>
      <c r="D17" s="14">
        <v>29.488500999999999</v>
      </c>
      <c r="E17" s="14">
        <f t="shared" si="1"/>
        <v>5.7784780612391229E-2</v>
      </c>
      <c r="F17" s="5">
        <v>85.25</v>
      </c>
      <c r="G17" s="5">
        <f t="shared" si="2"/>
        <v>4.5370899618483174E-2</v>
      </c>
      <c r="H17" s="14">
        <v>177.53999300000001</v>
      </c>
      <c r="I17" s="14">
        <f t="shared" si="3"/>
        <v>4.8299432874944204E-2</v>
      </c>
      <c r="J17" s="5">
        <v>61.643002000000003</v>
      </c>
      <c r="K17" s="5">
        <f t="shared" si="4"/>
        <v>4.3929651645243872E-2</v>
      </c>
      <c r="L17" s="14">
        <v>11.995699999999999</v>
      </c>
      <c r="M17" s="14">
        <f t="shared" si="5"/>
        <v>5.1811517957351283E-2</v>
      </c>
      <c r="N17" s="16">
        <v>19189.050781000002</v>
      </c>
      <c r="O17" s="16">
        <f t="shared" si="6"/>
        <v>3.5320829171138879E-2</v>
      </c>
      <c r="P17" s="1"/>
    </row>
    <row r="18" spans="3:16" ht="16.8" customHeight="1" x14ac:dyDescent="0.3">
      <c r="C18" s="13">
        <v>45108</v>
      </c>
      <c r="D18" s="14">
        <v>30.884701</v>
      </c>
      <c r="E18" s="14">
        <f t="shared" si="1"/>
        <v>4.7347269364421019E-2</v>
      </c>
      <c r="F18" s="5">
        <v>89.010002</v>
      </c>
      <c r="G18" s="5">
        <f t="shared" si="2"/>
        <v>4.4105595307917911E-2</v>
      </c>
      <c r="H18" s="14">
        <v>187.19000199999999</v>
      </c>
      <c r="I18" s="14">
        <f t="shared" si="3"/>
        <v>5.4354001241849748E-2</v>
      </c>
      <c r="J18" s="5">
        <v>64.569800999999998</v>
      </c>
      <c r="K18" s="5">
        <f t="shared" si="4"/>
        <v>4.7479825852738244E-2</v>
      </c>
      <c r="L18" s="14">
        <v>12.498799999999999</v>
      </c>
      <c r="M18" s="14">
        <f t="shared" si="5"/>
        <v>4.1940028510216054E-2</v>
      </c>
      <c r="N18" s="16">
        <v>19753.800781000002</v>
      </c>
      <c r="O18" s="16">
        <f t="shared" si="6"/>
        <v>2.9430846082245221E-2</v>
      </c>
      <c r="P18" s="1"/>
    </row>
    <row r="19" spans="3:16" ht="16.8" customHeight="1" x14ac:dyDescent="0.3">
      <c r="C19" s="13">
        <v>45139</v>
      </c>
      <c r="D19" s="14">
        <v>31.706301</v>
      </c>
      <c r="E19" s="14">
        <f t="shared" si="1"/>
        <v>2.6602167850030334E-2</v>
      </c>
      <c r="F19" s="5">
        <v>88.139999000000003</v>
      </c>
      <c r="G19" s="5">
        <f t="shared" si="2"/>
        <v>-9.7742161605612887E-3</v>
      </c>
      <c r="H19" s="14">
        <v>190.529999</v>
      </c>
      <c r="I19" s="14">
        <f t="shared" si="3"/>
        <v>1.7842817267559097E-2</v>
      </c>
      <c r="J19" s="5">
        <v>64.449402000000006</v>
      </c>
      <c r="K19" s="5">
        <f t="shared" si="4"/>
        <v>-1.8646332826701695E-3</v>
      </c>
      <c r="L19" s="14">
        <v>12.6629</v>
      </c>
      <c r="M19" s="14">
        <f t="shared" si="5"/>
        <v>1.3129260408999421E-2</v>
      </c>
      <c r="N19" s="16">
        <v>19253.800781000002</v>
      </c>
      <c r="O19" s="16">
        <f t="shared" si="6"/>
        <v>-2.5311584618233018E-2</v>
      </c>
      <c r="P19" s="1"/>
    </row>
    <row r="20" spans="3:16" ht="16.8" customHeight="1" x14ac:dyDescent="0.3">
      <c r="C20" s="13">
        <v>45170</v>
      </c>
      <c r="D20" s="14">
        <v>31.982900999999998</v>
      </c>
      <c r="E20" s="14">
        <f t="shared" si="1"/>
        <v>8.7238180196420601E-3</v>
      </c>
      <c r="F20" s="5">
        <v>90.199996999999996</v>
      </c>
      <c r="G20" s="5">
        <f t="shared" si="2"/>
        <v>2.3371885901655176E-2</v>
      </c>
      <c r="H20" s="14">
        <v>194.11000100000001</v>
      </c>
      <c r="I20" s="14">
        <f t="shared" si="3"/>
        <v>1.8789702507687522E-2</v>
      </c>
      <c r="J20" s="5">
        <v>65.813698000000002</v>
      </c>
      <c r="K20" s="5">
        <f t="shared" si="4"/>
        <v>2.1168481904610958E-2</v>
      </c>
      <c r="L20" s="14">
        <v>12.867699999999999</v>
      </c>
      <c r="M20" s="14">
        <f t="shared" si="5"/>
        <v>1.6173230460636789E-2</v>
      </c>
      <c r="N20" s="16">
        <v>19638.300781000002</v>
      </c>
      <c r="O20" s="16">
        <f t="shared" si="6"/>
        <v>1.9970083017553097E-2</v>
      </c>
      <c r="P20" s="1"/>
    </row>
    <row r="21" spans="3:16" ht="16.8" customHeight="1" x14ac:dyDescent="0.3">
      <c r="C21" s="13">
        <v>45200</v>
      </c>
      <c r="D21" s="14">
        <v>31.551000999999999</v>
      </c>
      <c r="E21" s="14">
        <f t="shared" si="1"/>
        <v>-1.3504090826532589E-2</v>
      </c>
      <c r="F21" s="5">
        <v>87.82</v>
      </c>
      <c r="G21" s="5">
        <f t="shared" si="2"/>
        <v>-2.6385776930790805E-2</v>
      </c>
      <c r="H21" s="14">
        <v>186.66999799999999</v>
      </c>
      <c r="I21" s="14">
        <f t="shared" si="3"/>
        <v>-3.8328797906708623E-2</v>
      </c>
      <c r="J21" s="5">
        <v>63.790199000000001</v>
      </c>
      <c r="K21" s="5">
        <f t="shared" si="4"/>
        <v>-3.0745863877759905E-2</v>
      </c>
      <c r="L21" s="14">
        <v>12.503299999999999</v>
      </c>
      <c r="M21" s="14">
        <f t="shared" si="5"/>
        <v>-2.8318969201955313E-2</v>
      </c>
      <c r="N21" s="16">
        <v>19079.599609000001</v>
      </c>
      <c r="O21" s="16">
        <f t="shared" si="6"/>
        <v>-2.8449567924967445E-2</v>
      </c>
      <c r="P21" s="1"/>
    </row>
    <row r="22" spans="3:16" ht="16.8" customHeight="1" x14ac:dyDescent="0.3">
      <c r="C22" s="13">
        <v>45231</v>
      </c>
      <c r="D22" s="14">
        <v>33.776699000000001</v>
      </c>
      <c r="E22" s="14">
        <f t="shared" si="1"/>
        <v>7.0542864868217592E-2</v>
      </c>
      <c r="F22" s="5">
        <v>94.209998999999996</v>
      </c>
      <c r="G22" s="5">
        <f t="shared" si="2"/>
        <v>7.2762457299020866E-2</v>
      </c>
      <c r="H22" s="14">
        <v>210.08999600000001</v>
      </c>
      <c r="I22" s="14">
        <f t="shared" si="3"/>
        <v>0.12546203595073702</v>
      </c>
      <c r="J22" s="5">
        <v>67.260497999999998</v>
      </c>
      <c r="K22" s="5">
        <f t="shared" si="4"/>
        <v>5.440175848957618E-2</v>
      </c>
      <c r="L22" s="14">
        <v>13.1806</v>
      </c>
      <c r="M22" s="14">
        <f t="shared" si="5"/>
        <v>5.4169699199411392E-2</v>
      </c>
      <c r="N22" s="16">
        <v>20133.150390999999</v>
      </c>
      <c r="O22" s="16">
        <f t="shared" si="6"/>
        <v>5.5218704982835654E-2</v>
      </c>
      <c r="P22" s="1"/>
    </row>
    <row r="23" spans="3:16" ht="16.8" customHeight="1" x14ac:dyDescent="0.3">
      <c r="C23" s="13">
        <v>45261</v>
      </c>
      <c r="D23" s="14">
        <v>35.068699000000002</v>
      </c>
      <c r="E23" s="14">
        <f t="shared" si="1"/>
        <v>3.8251221648391454E-2</v>
      </c>
      <c r="F23" s="5">
        <v>100.93</v>
      </c>
      <c r="G23" s="5">
        <f t="shared" si="2"/>
        <v>7.1330018801932127E-2</v>
      </c>
      <c r="H23" s="14">
        <v>223.5</v>
      </c>
      <c r="I23" s="14">
        <f t="shared" si="3"/>
        <v>6.3829807488786861E-2</v>
      </c>
      <c r="J23" s="5">
        <v>72.890900000000002</v>
      </c>
      <c r="K23" s="5">
        <f t="shared" si="4"/>
        <v>8.3710382281142248E-2</v>
      </c>
      <c r="L23" s="14">
        <v>14.200100000000001</v>
      </c>
      <c r="M23" s="14">
        <f t="shared" si="5"/>
        <v>7.7348527381151166E-2</v>
      </c>
      <c r="N23" s="16">
        <v>21731.400390999999</v>
      </c>
      <c r="O23" s="16">
        <f t="shared" si="6"/>
        <v>7.9383999471560829E-2</v>
      </c>
      <c r="P23" s="1"/>
    </row>
    <row r="24" spans="3:16" ht="16.8" customHeight="1" x14ac:dyDescent="0.3">
      <c r="C24" s="13">
        <v>45292</v>
      </c>
      <c r="D24" s="14">
        <v>36.258597999999999</v>
      </c>
      <c r="E24" s="14">
        <f t="shared" si="1"/>
        <v>3.3930514502405584E-2</v>
      </c>
      <c r="F24" s="5">
        <v>103.739998</v>
      </c>
      <c r="G24" s="5">
        <f t="shared" si="2"/>
        <v>2.7841058159120191E-2</v>
      </c>
      <c r="H24" s="14">
        <v>236.08000200000001</v>
      </c>
      <c r="I24" s="14">
        <f t="shared" si="3"/>
        <v>5.6286362416107405E-2</v>
      </c>
      <c r="J24" s="5">
        <v>74.015099000000006</v>
      </c>
      <c r="K24" s="5">
        <f t="shared" si="4"/>
        <v>1.5423036346100982E-2</v>
      </c>
      <c r="L24" s="14">
        <v>14.6562</v>
      </c>
      <c r="M24" s="14">
        <f t="shared" si="5"/>
        <v>3.2119492116252646E-2</v>
      </c>
      <c r="N24" s="16">
        <v>21725.699218999998</v>
      </c>
      <c r="O24" s="16">
        <f t="shared" si="6"/>
        <v>-2.6234719794504535E-4</v>
      </c>
      <c r="P24" s="1"/>
    </row>
    <row r="25" spans="3:16" ht="16.8" customHeight="1" x14ac:dyDescent="0.3">
      <c r="C25" s="13">
        <v>45323</v>
      </c>
      <c r="D25" s="14">
        <v>36.526198999999998</v>
      </c>
      <c r="E25" s="14">
        <f t="shared" si="1"/>
        <v>7.3803460354424644E-3</v>
      </c>
      <c r="F25" s="5">
        <v>106.110001</v>
      </c>
      <c r="G25" s="5">
        <f t="shared" si="2"/>
        <v>2.284560483604392E-2</v>
      </c>
      <c r="H25" s="14">
        <v>238.220001</v>
      </c>
      <c r="I25" s="14">
        <f t="shared" si="3"/>
        <v>9.0647195097870448E-3</v>
      </c>
      <c r="J25" s="5">
        <v>76.271500000000003</v>
      </c>
      <c r="K25" s="5">
        <f t="shared" si="4"/>
        <v>3.048568508974081E-2</v>
      </c>
      <c r="L25" s="14">
        <v>14.723100000000001</v>
      </c>
      <c r="M25" s="14">
        <f t="shared" si="5"/>
        <v>4.564621115978218E-3</v>
      </c>
      <c r="N25" s="16">
        <v>21982.800781000002</v>
      </c>
      <c r="O25" s="16">
        <f t="shared" si="6"/>
        <v>1.1833983312037999E-2</v>
      </c>
      <c r="P25" s="1"/>
    </row>
    <row r="26" spans="3:16" ht="16.8" customHeight="1" x14ac:dyDescent="0.3">
      <c r="C26" s="13">
        <v>45352</v>
      </c>
      <c r="D26" s="14">
        <v>35.770598999999997</v>
      </c>
      <c r="E26" s="14">
        <f t="shared" si="1"/>
        <v>-2.0686521474627018E-2</v>
      </c>
      <c r="F26" s="5">
        <v>106.269997</v>
      </c>
      <c r="G26" s="5">
        <f t="shared" si="2"/>
        <v>1.507831481407651E-3</v>
      </c>
      <c r="H26" s="14">
        <v>240.35000600000001</v>
      </c>
      <c r="I26" s="14">
        <f t="shared" si="3"/>
        <v>8.9413357025383E-3</v>
      </c>
      <c r="J26" s="5">
        <v>78.185897999999995</v>
      </c>
      <c r="K26" s="5">
        <f t="shared" si="4"/>
        <v>2.5099781700897328E-2</v>
      </c>
      <c r="L26" s="14">
        <v>14.809699999999999</v>
      </c>
      <c r="M26" s="14">
        <f t="shared" si="5"/>
        <v>5.8819134557259733E-3</v>
      </c>
      <c r="N26" s="16">
        <v>22326.900390999999</v>
      </c>
      <c r="O26" s="16">
        <f t="shared" si="6"/>
        <v>1.5653128708576824E-2</v>
      </c>
      <c r="P26" s="1"/>
    </row>
    <row r="27" spans="3:16" ht="16.8" customHeight="1" x14ac:dyDescent="0.3">
      <c r="C27" s="13">
        <v>45383</v>
      </c>
      <c r="D27" s="14">
        <v>39.413601</v>
      </c>
      <c r="E27" s="14">
        <f t="shared" si="1"/>
        <v>0.10184347206486533</v>
      </c>
      <c r="F27" s="5">
        <v>110.449997</v>
      </c>
      <c r="G27" s="5">
        <f t="shared" si="2"/>
        <v>3.9333773576750941E-2</v>
      </c>
      <c r="H27" s="14">
        <v>253.729996</v>
      </c>
      <c r="I27" s="14">
        <f t="shared" si="3"/>
        <v>5.566877331386455E-2</v>
      </c>
      <c r="J27" s="5">
        <v>80.721496999999999</v>
      </c>
      <c r="K27" s="5">
        <f t="shared" si="4"/>
        <v>3.2430387894246682E-2</v>
      </c>
      <c r="L27" s="14">
        <v>15.4099</v>
      </c>
      <c r="M27" s="14">
        <f t="shared" si="5"/>
        <v>4.0527492116653407E-2</v>
      </c>
      <c r="N27" s="16">
        <v>22604.849609000001</v>
      </c>
      <c r="O27" s="16">
        <f t="shared" si="6"/>
        <v>1.2449073231501684E-2</v>
      </c>
      <c r="P27" s="1"/>
    </row>
    <row r="28" spans="3:16" ht="16.8" customHeight="1" x14ac:dyDescent="0.3">
      <c r="C28" s="13">
        <v>45413</v>
      </c>
      <c r="D28" s="14">
        <v>39.418799999999997</v>
      </c>
      <c r="E28" s="14">
        <f t="shared" si="1"/>
        <v>1.3190877940827406E-4</v>
      </c>
      <c r="F28" s="5">
        <v>111.279999</v>
      </c>
      <c r="G28" s="5">
        <f t="shared" si="2"/>
        <v>7.5147308514640354E-3</v>
      </c>
      <c r="H28" s="14">
        <v>265.67999300000002</v>
      </c>
      <c r="I28" s="14">
        <f t="shared" si="3"/>
        <v>4.709729708110677E-2</v>
      </c>
      <c r="J28" s="5">
        <v>80.984497000000005</v>
      </c>
      <c r="K28" s="5">
        <f t="shared" si="4"/>
        <v>3.2581159886071465E-3</v>
      </c>
      <c r="L28" s="14">
        <v>15.4733</v>
      </c>
      <c r="M28" s="14">
        <f t="shared" si="5"/>
        <v>4.1142382494370189E-3</v>
      </c>
      <c r="N28" s="16">
        <v>22530.699218999998</v>
      </c>
      <c r="O28" s="16">
        <f t="shared" si="6"/>
        <v>-3.2802868093614324E-3</v>
      </c>
      <c r="P28" s="1"/>
    </row>
    <row r="29" spans="3:16" ht="16.8" customHeight="1" x14ac:dyDescent="0.3">
      <c r="C29" s="13">
        <v>45444</v>
      </c>
      <c r="D29" s="14">
        <v>43.458199</v>
      </c>
      <c r="E29" s="14">
        <f t="shared" si="1"/>
        <v>0.10247392107319353</v>
      </c>
      <c r="F29" s="5">
        <v>119.150002</v>
      </c>
      <c r="G29" s="5">
        <f t="shared" si="2"/>
        <v>7.0722529391827216E-2</v>
      </c>
      <c r="H29" s="14">
        <v>288.35000600000001</v>
      </c>
      <c r="I29" s="14">
        <f t="shared" si="3"/>
        <v>8.5328265572485185E-2</v>
      </c>
      <c r="J29" s="5">
        <v>84.821098000000006</v>
      </c>
      <c r="K29" s="5">
        <f t="shared" si="4"/>
        <v>4.7374511692034105E-2</v>
      </c>
      <c r="L29" s="14">
        <v>16.339099999999998</v>
      </c>
      <c r="M29" s="14">
        <f t="shared" si="5"/>
        <v>5.595445056969095E-2</v>
      </c>
      <c r="N29" s="16">
        <v>23537.849609000001</v>
      </c>
      <c r="O29" s="16">
        <f t="shared" si="6"/>
        <v>4.4701248736687127E-2</v>
      </c>
      <c r="P29" s="1"/>
    </row>
  </sheetData>
  <mergeCells count="7">
    <mergeCell ref="N3:O4"/>
    <mergeCell ref="D3:E4"/>
    <mergeCell ref="F3:G4"/>
    <mergeCell ref="H3:I4"/>
    <mergeCell ref="J3:K4"/>
    <mergeCell ref="L3:M4"/>
    <mergeCell ref="C3:C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52D44-685E-4317-8B76-098E0D7D9358}">
  <dimension ref="C4:D7"/>
  <sheetViews>
    <sheetView zoomScale="224" workbookViewId="0">
      <selection activeCell="F5" sqref="F5"/>
    </sheetView>
  </sheetViews>
  <sheetFormatPr defaultRowHeight="14.4" x14ac:dyDescent="0.3"/>
  <cols>
    <col min="3" max="3" width="20.77734375" bestFit="1" customWidth="1"/>
    <col min="4" max="4" width="6" bestFit="1" customWidth="1"/>
  </cols>
  <sheetData>
    <row r="4" spans="3:4" x14ac:dyDescent="0.3">
      <c r="C4" t="s">
        <v>20</v>
      </c>
      <c r="D4" s="29">
        <v>0.12</v>
      </c>
    </row>
    <row r="5" spans="3:4" x14ac:dyDescent="0.3">
      <c r="C5" t="s">
        <v>21</v>
      </c>
      <c r="D5" s="29">
        <v>0.04</v>
      </c>
    </row>
    <row r="7" spans="3:4" x14ac:dyDescent="0.3">
      <c r="C7" s="30" t="s">
        <v>22</v>
      </c>
      <c r="D7" s="31">
        <f>((1+D4)/(1+D5))-1</f>
        <v>7.6923076923077094E-2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79E6B-A443-4117-80B3-CB907520C916}">
  <dimension ref="C4:D7"/>
  <sheetViews>
    <sheetView topLeftCell="B3" zoomScale="257" workbookViewId="0">
      <selection activeCell="B11" sqref="B10:B11"/>
    </sheetView>
  </sheetViews>
  <sheetFormatPr defaultRowHeight="14.4" x14ac:dyDescent="0.3"/>
  <cols>
    <col min="3" max="3" width="28.5546875" bestFit="1" customWidth="1"/>
  </cols>
  <sheetData>
    <row r="4" spans="3:4" x14ac:dyDescent="0.3">
      <c r="C4" t="s">
        <v>23</v>
      </c>
      <c r="D4" s="29">
        <v>0.16</v>
      </c>
    </row>
    <row r="5" spans="3:4" x14ac:dyDescent="0.3">
      <c r="C5" t="s">
        <v>24</v>
      </c>
      <c r="D5" s="29">
        <v>0.2</v>
      </c>
    </row>
    <row r="7" spans="3:4" x14ac:dyDescent="0.3">
      <c r="C7" s="30" t="s">
        <v>25</v>
      </c>
      <c r="D7" s="31">
        <f>D4-D4*D5</f>
        <v>0.128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Task 1,2 &amp;3</vt:lpstr>
      <vt:lpstr>Task 4</vt:lpstr>
      <vt:lpstr>Task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230109_Sreerag K</dc:creator>
  <cp:lastModifiedBy>230109_Sreerag K</cp:lastModifiedBy>
  <dcterms:created xsi:type="dcterms:W3CDTF">2024-06-25T05:35:03Z</dcterms:created>
  <dcterms:modified xsi:type="dcterms:W3CDTF">2024-06-25T07:19:50Z</dcterms:modified>
</cp:coreProperties>
</file>