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tes\5th trem\AOR\"/>
    </mc:Choice>
  </mc:AlternateContent>
  <xr:revisionPtr revIDLastSave="0" documentId="13_ncr:1_{83D51B47-B4DB-4CB1-93D3-716A186AE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solver_adj" localSheetId="0" hidden="1">Sheet1!$S$2:$T$7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Sheet1!$T$2:$T$7</definedName>
    <definedName name="solver_lhs2" localSheetId="0" hidden="1">Sheet1!$U$2:$U$7</definedName>
    <definedName name="solver_lhs3" localSheetId="0" hidden="1">Sheet1!$U$8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Sheet1!$T$9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hs1" localSheetId="0" hidden="1">Sheet1!$Q$2:$Q$7</definedName>
    <definedName name="solver_rhs2" localSheetId="0" hidden="1">Sheet1!$W$2:$W$7</definedName>
    <definedName name="solver_rhs3" localSheetId="0" hidden="1">Sheet1!$W$8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W4" i="1"/>
  <c r="T9" i="1" a="1"/>
  <c r="T9" i="1" s="1"/>
  <c r="U8" i="1"/>
  <c r="W7" i="1"/>
  <c r="W6" i="1"/>
  <c r="W3" i="1"/>
  <c r="W2" i="1"/>
  <c r="U7" i="1"/>
  <c r="U2" i="1"/>
  <c r="R4" i="1"/>
  <c r="R2" i="1"/>
  <c r="Q7" i="1"/>
  <c r="Q2" i="1"/>
  <c r="L2" i="1"/>
  <c r="G2" i="1"/>
  <c r="F2" i="1"/>
  <c r="U3" i="1"/>
  <c r="U4" i="1"/>
  <c r="U5" i="1"/>
  <c r="U6" i="1"/>
  <c r="R3" i="1"/>
  <c r="L3" i="1"/>
  <c r="L4" i="1"/>
  <c r="L5" i="1"/>
  <c r="L6" i="1"/>
  <c r="L7" i="1"/>
  <c r="R5" i="1"/>
  <c r="R6" i="1"/>
  <c r="R7" i="1"/>
  <c r="Q3" i="1"/>
  <c r="Q4" i="1"/>
  <c r="Q5" i="1"/>
  <c r="Q6" i="1"/>
  <c r="G3" i="1"/>
  <c r="G4" i="1"/>
  <c r="G5" i="1"/>
  <c r="G6" i="1"/>
  <c r="G7" i="1"/>
  <c r="F3" i="1"/>
  <c r="F4" i="1"/>
  <c r="F5" i="1"/>
  <c r="F6" i="1"/>
  <c r="F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<sst xmlns="http://schemas.openxmlformats.org/spreadsheetml/2006/main" count="44" uniqueCount="31">
  <si>
    <t>Task</t>
  </si>
  <si>
    <t>Predecessors</t>
  </si>
  <si>
    <t>Optimistic Time (a)</t>
  </si>
  <si>
    <t>Most Likely Time (m)</t>
  </si>
  <si>
    <t>Pessimistic Time (b)</t>
  </si>
  <si>
    <t>A</t>
  </si>
  <si>
    <t>B</t>
  </si>
  <si>
    <t>C</t>
  </si>
  <si>
    <t>D</t>
  </si>
  <si>
    <t>E</t>
  </si>
  <si>
    <t>F</t>
  </si>
  <si>
    <t>D,E</t>
  </si>
  <si>
    <t>Exp Time</t>
  </si>
  <si>
    <t>Var</t>
  </si>
  <si>
    <t>&lt;=</t>
  </si>
  <si>
    <t>&gt;=</t>
  </si>
  <si>
    <t>ES</t>
  </si>
  <si>
    <t>EF</t>
  </si>
  <si>
    <t>LS</t>
  </si>
  <si>
    <t>LF</t>
  </si>
  <si>
    <t>Slack</t>
  </si>
  <si>
    <t>Critial</t>
  </si>
  <si>
    <t>Crashed Time</t>
  </si>
  <si>
    <t>Normal Cost</t>
  </si>
  <si>
    <t>Crash Cost</t>
  </si>
  <si>
    <t>Max time reduction Possible</t>
  </si>
  <si>
    <t>Crash cost per week</t>
  </si>
  <si>
    <t>Completion time</t>
  </si>
  <si>
    <t>yes</t>
  </si>
  <si>
    <t>no</t>
  </si>
  <si>
    <t>Optimal Crash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</si>
</sst>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4" borderId="0" xfId="0" applyFill="1"/>
    <xf numFmtId="0" fontId="0" fillId="0" borderId="2" xfId="0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69C3F5A-102F-45BF-80E2-5B7FAD5C202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topLeftCell="N1" zoomScale="135" zoomScaleNormal="158" workbookViewId="0">
      <selection activeCell="X15" sqref="X15"/>
    </sheetView>
  </sheetViews>
  <sheetFormatPr defaultRowHeight="14.4" x14ac:dyDescent="0.3"/>
  <cols>
    <col min="2" max="2" width="11.77734375" bestFit="1" customWidth="1"/>
    <col min="3" max="3" width="16.77734375" bestFit="1" customWidth="1"/>
    <col min="4" max="4" width="18.33203125" bestFit="1" customWidth="1"/>
    <col min="5" max="5" width="17.44140625" bestFit="1" customWidth="1"/>
    <col min="12" max="12" width="8.21875" customWidth="1"/>
    <col min="13" max="13" width="10.21875" customWidth="1"/>
    <col min="14" max="14" width="12.21875" bestFit="1" customWidth="1"/>
    <col min="15" max="15" width="11.21875" bestFit="1" customWidth="1"/>
    <col min="16" max="16" width="9.77734375" bestFit="1" customWidth="1"/>
    <col min="17" max="17" width="24.77734375" bestFit="1" customWidth="1"/>
    <col min="18" max="18" width="17.77734375" bestFit="1" customWidth="1"/>
    <col min="19" max="19" width="14.88671875" bestFit="1" customWidth="1"/>
    <col min="20" max="20" width="17.44140625" bestFit="1" customWidth="1"/>
  </cols>
  <sheetData>
    <row r="1" spans="1:2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12</v>
      </c>
      <c r="G1" s="1" t="s">
        <v>13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4" t="s">
        <v>22</v>
      </c>
      <c r="O1" s="4" t="s">
        <v>23</v>
      </c>
      <c r="P1" s="4" t="s">
        <v>24</v>
      </c>
      <c r="Q1" s="1" t="s">
        <v>25</v>
      </c>
      <c r="R1" s="1" t="s">
        <v>26</v>
      </c>
      <c r="S1" s="1" t="s">
        <v>27</v>
      </c>
      <c r="T1" s="1" t="s">
        <v>30</v>
      </c>
    </row>
    <row r="2" spans="1:23" x14ac:dyDescent="0.3">
      <c r="A2" s="5" t="s">
        <v>5</v>
      </c>
      <c r="B2" s="5"/>
      <c r="C2" s="5">
        <v>2</v>
      </c>
      <c r="D2" s="5">
        <v>4</v>
      </c>
      <c r="E2" s="5">
        <v>6</v>
      </c>
      <c r="F2" s="2">
        <f>(C2+4*D2+E2)/6</f>
        <v>4</v>
      </c>
      <c r="G2" s="2">
        <f>(E2-C2)^2/6</f>
        <v>2.6666666666666665</v>
      </c>
      <c r="H2" s="2">
        <v>0</v>
      </c>
      <c r="I2" s="2">
        <v>4</v>
      </c>
      <c r="J2" s="2">
        <v>0</v>
      </c>
      <c r="K2" s="2">
        <v>4</v>
      </c>
      <c r="L2" s="2">
        <f>K2-I2</f>
        <v>0</v>
      </c>
      <c r="M2" s="2" t="s">
        <v>28</v>
      </c>
      <c r="N2" s="5">
        <v>3</v>
      </c>
      <c r="O2" s="5">
        <v>200</v>
      </c>
      <c r="P2" s="5">
        <v>300</v>
      </c>
      <c r="Q2" s="2">
        <f>F2-N2</f>
        <v>1</v>
      </c>
      <c r="R2" s="2">
        <f>(P2-O2)/Q2</f>
        <v>100</v>
      </c>
      <c r="S2" s="3">
        <v>3</v>
      </c>
      <c r="T2" s="3">
        <v>1</v>
      </c>
      <c r="U2">
        <f>S2</f>
        <v>3</v>
      </c>
      <c r="V2" t="s">
        <v>15</v>
      </c>
      <c r="W2">
        <f>I2-T2</f>
        <v>3</v>
      </c>
    </row>
    <row r="3" spans="1:23" x14ac:dyDescent="0.3">
      <c r="A3" s="5" t="s">
        <v>6</v>
      </c>
      <c r="B3" s="5" t="s">
        <v>5</v>
      </c>
      <c r="C3" s="5">
        <v>3</v>
      </c>
      <c r="D3" s="5">
        <v>6</v>
      </c>
      <c r="E3" s="5">
        <v>9</v>
      </c>
      <c r="F3" s="2">
        <f t="shared" ref="F3:F7" si="0">(C3+4*D3+E3)/6</f>
        <v>6</v>
      </c>
      <c r="G3" s="2">
        <f t="shared" ref="G3:G7" si="1">(E3-C3)^2/6</f>
        <v>6</v>
      </c>
      <c r="H3" s="2">
        <v>4</v>
      </c>
      <c r="I3" s="2">
        <v>10</v>
      </c>
      <c r="J3" s="2">
        <v>4</v>
      </c>
      <c r="K3" s="2">
        <v>10</v>
      </c>
      <c r="L3" s="2">
        <f t="shared" ref="L3:L7" si="2">K3-I3</f>
        <v>0</v>
      </c>
      <c r="M3" s="2" t="s">
        <v>28</v>
      </c>
      <c r="N3" s="5">
        <v>4</v>
      </c>
      <c r="O3" s="5">
        <v>400</v>
      </c>
      <c r="P3" s="5">
        <v>600</v>
      </c>
      <c r="Q3" s="2">
        <f t="shared" ref="Q3:Q6" si="3">F3-N3</f>
        <v>2</v>
      </c>
      <c r="R3" s="2">
        <f>(P3-O3)/Q3</f>
        <v>100</v>
      </c>
      <c r="S3" s="3">
        <v>7</v>
      </c>
      <c r="T3" s="3">
        <v>2</v>
      </c>
      <c r="U3">
        <f t="shared" ref="U3:U6" si="4">S3</f>
        <v>7</v>
      </c>
      <c r="V3" t="s">
        <v>15</v>
      </c>
      <c r="W3">
        <f>I3-T2-T3</f>
        <v>7</v>
      </c>
    </row>
    <row r="4" spans="1:23" x14ac:dyDescent="0.3">
      <c r="A4" s="5" t="s">
        <v>7</v>
      </c>
      <c r="B4" s="5" t="s">
        <v>5</v>
      </c>
      <c r="C4" s="5">
        <v>1</v>
      </c>
      <c r="D4" s="5">
        <v>3</v>
      </c>
      <c r="E4" s="5">
        <v>5</v>
      </c>
      <c r="F4" s="2">
        <f t="shared" si="0"/>
        <v>3</v>
      </c>
      <c r="G4" s="2">
        <f t="shared" si="1"/>
        <v>2.6666666666666665</v>
      </c>
      <c r="H4" s="2">
        <v>4</v>
      </c>
      <c r="I4" s="2">
        <v>7</v>
      </c>
      <c r="J4" s="2">
        <v>5</v>
      </c>
      <c r="K4" s="2">
        <v>8</v>
      </c>
      <c r="L4" s="2">
        <f t="shared" si="2"/>
        <v>1</v>
      </c>
      <c r="M4" s="2" t="s">
        <v>29</v>
      </c>
      <c r="N4" s="5">
        <v>2</v>
      </c>
      <c r="O4" s="5">
        <v>150</v>
      </c>
      <c r="P4" s="5">
        <v>250</v>
      </c>
      <c r="Q4" s="2">
        <f t="shared" si="3"/>
        <v>1</v>
      </c>
      <c r="R4" s="2">
        <f>(P4-O4)/Q4</f>
        <v>100</v>
      </c>
      <c r="S4" s="3">
        <v>6</v>
      </c>
      <c r="T4" s="3">
        <v>0</v>
      </c>
      <c r="U4">
        <f t="shared" si="4"/>
        <v>6</v>
      </c>
      <c r="V4" t="s">
        <v>15</v>
      </c>
      <c r="W4">
        <f>I4-T2-T4</f>
        <v>6</v>
      </c>
    </row>
    <row r="5" spans="1:23" x14ac:dyDescent="0.3">
      <c r="A5" s="5" t="s">
        <v>8</v>
      </c>
      <c r="B5" s="5" t="s">
        <v>6</v>
      </c>
      <c r="C5" s="5">
        <v>2</v>
      </c>
      <c r="D5" s="5">
        <v>4</v>
      </c>
      <c r="E5" s="5">
        <v>6</v>
      </c>
      <c r="F5" s="2">
        <f t="shared" si="0"/>
        <v>4</v>
      </c>
      <c r="G5" s="2">
        <f t="shared" si="1"/>
        <v>2.6666666666666665</v>
      </c>
      <c r="H5" s="2">
        <v>10</v>
      </c>
      <c r="I5" s="2">
        <v>14</v>
      </c>
      <c r="J5" s="2">
        <v>10</v>
      </c>
      <c r="K5" s="2">
        <v>14</v>
      </c>
      <c r="L5" s="2">
        <f t="shared" si="2"/>
        <v>0</v>
      </c>
      <c r="M5" s="2" t="s">
        <v>28</v>
      </c>
      <c r="N5" s="5">
        <v>3</v>
      </c>
      <c r="O5" s="5">
        <v>300</v>
      </c>
      <c r="P5" s="5">
        <v>450</v>
      </c>
      <c r="Q5" s="2">
        <f t="shared" si="3"/>
        <v>1</v>
      </c>
      <c r="R5" s="2">
        <f t="shared" ref="R5:R7" si="5">(P5-O5)/Q5</f>
        <v>150</v>
      </c>
      <c r="S5" s="3">
        <v>11</v>
      </c>
      <c r="T5" s="3">
        <v>0</v>
      </c>
      <c r="U5">
        <f t="shared" si="4"/>
        <v>11</v>
      </c>
      <c r="V5" t="s">
        <v>15</v>
      </c>
      <c r="W5">
        <f>I5-T2-T3-T5</f>
        <v>11</v>
      </c>
    </row>
    <row r="6" spans="1:23" x14ac:dyDescent="0.3">
      <c r="A6" s="5" t="s">
        <v>9</v>
      </c>
      <c r="B6" s="5" t="s">
        <v>7</v>
      </c>
      <c r="C6" s="5">
        <v>4</v>
      </c>
      <c r="D6" s="5">
        <v>6</v>
      </c>
      <c r="E6" s="5">
        <v>8</v>
      </c>
      <c r="F6" s="2">
        <f t="shared" si="0"/>
        <v>6</v>
      </c>
      <c r="G6" s="2">
        <f t="shared" si="1"/>
        <v>2.6666666666666665</v>
      </c>
      <c r="H6" s="2">
        <v>7</v>
      </c>
      <c r="I6" s="2">
        <v>13</v>
      </c>
      <c r="J6" s="2">
        <v>8</v>
      </c>
      <c r="K6" s="2">
        <v>14</v>
      </c>
      <c r="L6" s="2">
        <f t="shared" si="2"/>
        <v>1</v>
      </c>
      <c r="M6" s="2" t="s">
        <v>29</v>
      </c>
      <c r="N6" s="5">
        <v>4</v>
      </c>
      <c r="O6" s="5">
        <v>350</v>
      </c>
      <c r="P6" s="5">
        <v>500</v>
      </c>
      <c r="Q6" s="2">
        <f t="shared" si="3"/>
        <v>2</v>
      </c>
      <c r="R6" s="2">
        <f t="shared" si="5"/>
        <v>75</v>
      </c>
      <c r="S6" s="3">
        <v>12</v>
      </c>
      <c r="T6" s="3">
        <v>0</v>
      </c>
      <c r="U6">
        <f t="shared" si="4"/>
        <v>12</v>
      </c>
      <c r="V6" t="s">
        <v>15</v>
      </c>
      <c r="W6">
        <f>I6-T2-T4-T6</f>
        <v>12</v>
      </c>
    </row>
    <row r="7" spans="1:23" x14ac:dyDescent="0.3">
      <c r="A7" s="5" t="s">
        <v>10</v>
      </c>
      <c r="B7" s="5" t="s">
        <v>11</v>
      </c>
      <c r="C7" s="5">
        <v>3</v>
      </c>
      <c r="D7" s="5">
        <v>5</v>
      </c>
      <c r="E7" s="5">
        <v>7</v>
      </c>
      <c r="F7" s="2">
        <f t="shared" si="0"/>
        <v>5</v>
      </c>
      <c r="G7" s="2">
        <f t="shared" si="1"/>
        <v>2.6666666666666665</v>
      </c>
      <c r="H7" s="2">
        <v>14</v>
      </c>
      <c r="I7" s="2">
        <v>19</v>
      </c>
      <c r="J7" s="2">
        <v>14</v>
      </c>
      <c r="K7" s="2">
        <v>19</v>
      </c>
      <c r="L7" s="2">
        <f t="shared" si="2"/>
        <v>0</v>
      </c>
      <c r="M7" s="2" t="s">
        <v>28</v>
      </c>
      <c r="N7" s="5">
        <v>3</v>
      </c>
      <c r="O7" s="5">
        <v>500</v>
      </c>
      <c r="P7" s="5">
        <v>700</v>
      </c>
      <c r="Q7" s="2">
        <f>F7-N7</f>
        <v>2</v>
      </c>
      <c r="R7" s="2">
        <f t="shared" si="5"/>
        <v>100</v>
      </c>
      <c r="S7" s="3">
        <v>16</v>
      </c>
      <c r="T7" s="3">
        <v>0</v>
      </c>
      <c r="U7">
        <f>S7</f>
        <v>16</v>
      </c>
      <c r="V7" t="s">
        <v>15</v>
      </c>
      <c r="W7">
        <f>I7-T2-T3-T5-T7</f>
        <v>16</v>
      </c>
    </row>
    <row r="8" spans="1:23" x14ac:dyDescent="0.3">
      <c r="F8" s="7"/>
      <c r="U8">
        <f>S7</f>
        <v>16</v>
      </c>
      <c r="V8" t="s">
        <v>14</v>
      </c>
      <c r="W8">
        <v>16</v>
      </c>
    </row>
    <row r="9" spans="1:23" x14ac:dyDescent="0.3">
      <c r="T9" s="6" cm="1">
        <f t="array" ref="T9">SUMPRODUCT(T2:T7*R2:R7)</f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Sreerag K</cp:lastModifiedBy>
  <dcterms:created xsi:type="dcterms:W3CDTF">2025-01-22T05:35:01Z</dcterms:created>
  <dcterms:modified xsi:type="dcterms:W3CDTF">2025-02-06T04:50:07Z</dcterms:modified>
</cp:coreProperties>
</file>